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hat\WHUSUScoring\ScoringServerDomain\"/>
    </mc:Choice>
  </mc:AlternateContent>
  <xr:revisionPtr revIDLastSave="0" documentId="13_ncr:1_{C3A31060-6BF9-4561-AE5B-07788B3D5D45}" xr6:coauthVersionLast="47" xr6:coauthVersionMax="47" xr10:uidLastSave="{00000000-0000-0000-0000-000000000000}"/>
  <bookViews>
    <workbookView xWindow="-120" yWindow="-120" windowWidth="29040" windowHeight="17520" xr2:uid="{517E7F63-C627-45A0-B1C4-0C7306554F26}"/>
  </bookViews>
  <sheets>
    <sheet name="Sheet1" sheetId="1" r:id="rId1"/>
    <sheet name="Sheet2" sheetId="3" r:id="rId2"/>
    <sheet name="Sheet3" sheetId="4" r:id="rId3"/>
  </sheets>
  <definedNames>
    <definedName name="_xlnm._FilterDatabase" localSheetId="2" hidden="1">Sheet3!$A$2:$C$73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" i="1" l="1"/>
  <c r="L38" i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32" i="1"/>
  <c r="L33" i="1"/>
  <c r="L34" i="1"/>
  <c r="L35" i="1"/>
  <c r="L36" i="1"/>
  <c r="M36" i="1" s="1"/>
  <c r="L9" i="1"/>
  <c r="L10" i="1"/>
  <c r="L11" i="1"/>
  <c r="L12" i="1"/>
  <c r="L13" i="1"/>
  <c r="L14" i="1"/>
  <c r="M14" i="1" s="1"/>
  <c r="L15" i="1"/>
  <c r="L16" i="1"/>
  <c r="L17" i="1"/>
  <c r="L18" i="1"/>
  <c r="L19" i="1"/>
  <c r="L20" i="1"/>
  <c r="L21" i="1"/>
  <c r="L22" i="1"/>
  <c r="L23" i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" i="1"/>
  <c r="L4" i="1"/>
  <c r="M4" i="1" s="1"/>
  <c r="L5" i="1"/>
  <c r="M5" i="1" s="1"/>
  <c r="L6" i="1"/>
  <c r="L7" i="1"/>
  <c r="L8" i="1"/>
  <c r="M8" i="1" s="1"/>
  <c r="L2" i="1"/>
  <c r="M2" i="1" s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3" i="1"/>
  <c r="M6" i="1"/>
  <c r="M7" i="1"/>
  <c r="M9" i="1"/>
  <c r="M10" i="1"/>
  <c r="M11" i="1"/>
  <c r="M12" i="1"/>
  <c r="M13" i="1"/>
  <c r="M15" i="1"/>
  <c r="M16" i="1"/>
  <c r="M17" i="1"/>
  <c r="M18" i="1"/>
  <c r="M19" i="1"/>
  <c r="M20" i="1"/>
  <c r="M21" i="1"/>
  <c r="M22" i="1"/>
  <c r="M23" i="1"/>
  <c r="M32" i="1"/>
  <c r="M33" i="1"/>
  <c r="M34" i="1"/>
  <c r="M35" i="1"/>
  <c r="M37" i="1"/>
  <c r="M38" i="1"/>
</calcChain>
</file>

<file path=xl/sharedStrings.xml><?xml version="1.0" encoding="utf-8"?>
<sst xmlns="http://schemas.openxmlformats.org/spreadsheetml/2006/main" count="512" uniqueCount="105">
  <si>
    <t>姓名</t>
  </si>
  <si>
    <t>职能小组</t>
  </si>
  <si>
    <t>平行小组</t>
  </si>
  <si>
    <t>李唐柏</t>
  </si>
  <si>
    <t>福利组</t>
  </si>
  <si>
    <t>锦彰合鸣</t>
  </si>
  <si>
    <t>余开乐</t>
  </si>
  <si>
    <t>秘书组</t>
  </si>
  <si>
    <t>刘艾歆</t>
  </si>
  <si>
    <t>内建组</t>
  </si>
  <si>
    <t>杨逸涵</t>
  </si>
  <si>
    <t>李旭言</t>
  </si>
  <si>
    <t>通联组</t>
  </si>
  <si>
    <t>姜雨含</t>
  </si>
  <si>
    <t>宣传组</t>
  </si>
  <si>
    <t>田依可</t>
  </si>
  <si>
    <t>赵思彤</t>
  </si>
  <si>
    <t>瑾耀南天</t>
  </si>
  <si>
    <t>周子轩</t>
  </si>
  <si>
    <t>王淳</t>
  </si>
  <si>
    <t>蔡美雯</t>
  </si>
  <si>
    <t>齐婕然</t>
  </si>
  <si>
    <t>袁康哲</t>
  </si>
  <si>
    <t>王艺霖</t>
  </si>
  <si>
    <t>流星屿</t>
  </si>
  <si>
    <t>李白涛</t>
  </si>
  <si>
    <t>胡宁</t>
  </si>
  <si>
    <t>张欣然</t>
  </si>
  <si>
    <t>李林希</t>
  </si>
  <si>
    <t>胡心悦</t>
  </si>
  <si>
    <t>刘芳竹</t>
  </si>
  <si>
    <t>甜甜可乐</t>
  </si>
  <si>
    <t>吴雨桐</t>
  </si>
  <si>
    <t>霍恩希</t>
  </si>
  <si>
    <t>管洋</t>
  </si>
  <si>
    <t>吴沁泽</t>
  </si>
  <si>
    <t>王康馨</t>
  </si>
  <si>
    <t>赖秋妤</t>
  </si>
  <si>
    <t>宋佳融</t>
  </si>
  <si>
    <t>雪顶咖飞</t>
  </si>
  <si>
    <t>蒋欣桐</t>
  </si>
  <si>
    <t>刘矗</t>
  </si>
  <si>
    <t>王诗琦</t>
  </si>
  <si>
    <t>吴心洋</t>
  </si>
  <si>
    <t>李天仪</t>
  </si>
  <si>
    <t>史国立</t>
  </si>
  <si>
    <t>万佳</t>
  </si>
  <si>
    <t>易如凡张</t>
  </si>
  <si>
    <t>杨艺诗</t>
  </si>
  <si>
    <t>张佳璐</t>
  </si>
  <si>
    <t>王清平</t>
  </si>
  <si>
    <t>江欣乔</t>
  </si>
  <si>
    <t>王博涵</t>
  </si>
  <si>
    <t>王富湲</t>
  </si>
  <si>
    <t>洪如玥</t>
  </si>
  <si>
    <t>宇园葡萄</t>
  </si>
  <si>
    <t>陈冠淇</t>
  </si>
  <si>
    <t>周佳锦</t>
  </si>
  <si>
    <t>吴亦杰</t>
  </si>
  <si>
    <t>陈希</t>
  </si>
  <si>
    <t>张博钧</t>
  </si>
  <si>
    <t>刘羽晗</t>
  </si>
  <si>
    <t>王紫嫣</t>
  </si>
  <si>
    <t>种子轩手</t>
  </si>
  <si>
    <t>任泽楷</t>
  </si>
  <si>
    <t>卫金男</t>
  </si>
  <si>
    <t>邱云婷</t>
  </si>
  <si>
    <t>杨海粟</t>
  </si>
  <si>
    <t>任予歆</t>
  </si>
  <si>
    <t>杨婉芝</t>
  </si>
  <si>
    <t>文寄四海</t>
  </si>
  <si>
    <t>次数</t>
  </si>
  <si>
    <t>分数（干事1.5/次；职委0.5/次）</t>
  </si>
  <si>
    <t>招商</t>
  </si>
  <si>
    <t>分数</t>
  </si>
  <si>
    <t>侯锦涵</t>
  </si>
  <si>
    <t>组员6次</t>
  </si>
  <si>
    <t>马彰骏吉</t>
  </si>
  <si>
    <t>南斐诚</t>
  </si>
  <si>
    <t>周瑾祺</t>
  </si>
  <si>
    <t>赵陈星</t>
  </si>
  <si>
    <t>蔡屿阳</t>
  </si>
  <si>
    <t>曹乐敏</t>
  </si>
  <si>
    <t>组员1次</t>
  </si>
  <si>
    <t>李翔天</t>
  </si>
  <si>
    <t>赵雪茜</t>
  </si>
  <si>
    <t>昝飞宇</t>
  </si>
  <si>
    <t>徐凡杰</t>
  </si>
  <si>
    <t>张旬</t>
  </si>
  <si>
    <t>魏宇兮</t>
  </si>
  <si>
    <t>组员7次</t>
  </si>
  <si>
    <t>朱园园</t>
  </si>
  <si>
    <t>周雨轩</t>
  </si>
  <si>
    <t>杨子润</t>
  </si>
  <si>
    <t>身份</t>
    <phoneticPr fontId="2" type="noConversion"/>
  </si>
  <si>
    <t>职委</t>
    <phoneticPr fontId="2" type="noConversion"/>
  </si>
  <si>
    <t>学员</t>
    <phoneticPr fontId="2" type="noConversion"/>
  </si>
  <si>
    <t>例会（职委)</t>
    <phoneticPr fontId="2" type="noConversion"/>
  </si>
  <si>
    <t>职能小组（学员）</t>
    <phoneticPr fontId="2" type="noConversion"/>
  </si>
  <si>
    <t>总分</t>
    <phoneticPr fontId="2" type="noConversion"/>
  </si>
  <si>
    <t>齐之腾</t>
  </si>
  <si>
    <t>齐之腾</t>
    <phoneticPr fontId="2" type="noConversion"/>
  </si>
  <si>
    <t>总分计算</t>
    <phoneticPr fontId="2" type="noConversion"/>
  </si>
  <si>
    <t>姓名</t>
    <phoneticPr fontId="2" type="noConversion"/>
  </si>
  <si>
    <t>钟瑷如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</si>
</sst>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Microsoft YaHei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2" fontId="4" fillId="0" borderId="5" xfId="0" applyNumberFormat="1" applyFont="1" applyBorder="1" applyAlignment="1">
      <alignment horizontal="left" vertical="center"/>
    </xf>
    <xf numFmtId="0" fontId="4" fillId="12" borderId="5" xfId="0" applyFont="1" applyFill="1" applyBorder="1" applyAlignment="1">
      <alignment horizontal="left" vertical="center"/>
    </xf>
    <xf numFmtId="0" fontId="4" fillId="13" borderId="5" xfId="0" applyFont="1" applyFill="1" applyBorder="1" applyAlignment="1">
      <alignment horizontal="right" vertical="center"/>
    </xf>
    <xf numFmtId="0" fontId="4" fillId="13" borderId="5" xfId="0" applyFont="1" applyFill="1" applyBorder="1">
      <alignment vertical="center"/>
    </xf>
    <xf numFmtId="2" fontId="4" fillId="13" borderId="5" xfId="0" applyNumberFormat="1" applyFont="1" applyFill="1" applyBorder="1" applyAlignment="1">
      <alignment horizontal="right" vertical="center"/>
    </xf>
    <xf numFmtId="1" fontId="4" fillId="13" borderId="5" xfId="0" applyNumberFormat="1" applyFont="1" applyFill="1" applyBorder="1" applyAlignment="1">
      <alignment horizontal="right" vertical="center"/>
    </xf>
    <xf numFmtId="0" fontId="4" fillId="14" borderId="5" xfId="0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right" vertical="center"/>
    </xf>
    <xf numFmtId="0" fontId="4" fillId="15" borderId="5" xfId="0" applyFont="1" applyFill="1" applyBorder="1">
      <alignment vertical="center"/>
    </xf>
    <xf numFmtId="2" fontId="4" fillId="15" borderId="5" xfId="0" applyNumberFormat="1" applyFont="1" applyFill="1" applyBorder="1" applyAlignment="1">
      <alignment horizontal="right" vertical="center"/>
    </xf>
    <xf numFmtId="1" fontId="4" fillId="15" borderId="5" xfId="0" applyNumberFormat="1" applyFont="1" applyFill="1" applyBorder="1" applyAlignment="1">
      <alignment horizontal="right" vertical="center"/>
    </xf>
    <xf numFmtId="0" fontId="4" fillId="16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right" vertical="center"/>
    </xf>
    <xf numFmtId="0" fontId="4" fillId="17" borderId="5" xfId="0" applyFont="1" applyFill="1" applyBorder="1">
      <alignment vertical="center"/>
    </xf>
    <xf numFmtId="2" fontId="4" fillId="17" borderId="5" xfId="0" applyNumberFormat="1" applyFont="1" applyFill="1" applyBorder="1" applyAlignment="1">
      <alignment horizontal="right" vertical="center"/>
    </xf>
    <xf numFmtId="1" fontId="4" fillId="17" borderId="5" xfId="0" applyNumberFormat="1" applyFont="1" applyFill="1" applyBorder="1" applyAlignment="1">
      <alignment horizontal="right" vertical="center"/>
    </xf>
    <xf numFmtId="0" fontId="4" fillId="18" borderId="5" xfId="0" applyFont="1" applyFill="1" applyBorder="1" applyAlignment="1">
      <alignment horizontal="left" vertical="center"/>
    </xf>
    <xf numFmtId="0" fontId="4" fillId="19" borderId="5" xfId="0" applyFont="1" applyFill="1" applyBorder="1" applyAlignment="1">
      <alignment horizontal="right" vertical="center"/>
    </xf>
    <xf numFmtId="0" fontId="4" fillId="19" borderId="5" xfId="0" applyFont="1" applyFill="1" applyBorder="1">
      <alignment vertical="center"/>
    </xf>
    <xf numFmtId="2" fontId="4" fillId="19" borderId="5" xfId="0" applyNumberFormat="1" applyFont="1" applyFill="1" applyBorder="1" applyAlignment="1">
      <alignment horizontal="right" vertical="center"/>
    </xf>
    <xf numFmtId="1" fontId="4" fillId="19" borderId="5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B635-3CE7-4748-B5C1-A294AABDA245}">
  <dimension ref="A1:M73"/>
  <sheetViews>
    <sheetView tabSelected="1" topLeftCell="A31" workbookViewId="0">
      <selection activeCell="M60" sqref="M60"/>
    </sheetView>
  </sheetViews>
  <sheetFormatPr defaultRowHeight="14.25"/>
  <cols>
    <col min="11" max="11" width="11.5" bestFit="1" customWidth="1"/>
  </cols>
  <sheetData>
    <row r="1" spans="1:13">
      <c r="A1" s="1" t="s">
        <v>0</v>
      </c>
      <c r="B1" s="1" t="s">
        <v>1</v>
      </c>
      <c r="C1" s="1" t="s">
        <v>2</v>
      </c>
      <c r="D1" s="17" t="s">
        <v>94</v>
      </c>
      <c r="E1" s="14" t="s">
        <v>70</v>
      </c>
      <c r="F1" s="1" t="s">
        <v>71</v>
      </c>
      <c r="G1" s="1" t="s">
        <v>72</v>
      </c>
      <c r="H1" s="14" t="s">
        <v>73</v>
      </c>
      <c r="I1" s="10" t="s">
        <v>71</v>
      </c>
      <c r="J1" s="10" t="s">
        <v>74</v>
      </c>
      <c r="K1" t="s">
        <v>97</v>
      </c>
      <c r="L1" t="s">
        <v>98</v>
      </c>
      <c r="M1" t="s">
        <v>102</v>
      </c>
    </row>
    <row r="2" spans="1:13">
      <c r="A2" s="2" t="s">
        <v>3</v>
      </c>
      <c r="B2" s="2" t="s">
        <v>4</v>
      </c>
      <c r="C2" s="2" t="s">
        <v>5</v>
      </c>
      <c r="D2" s="18" t="s">
        <v>96</v>
      </c>
      <c r="E2" s="15"/>
      <c r="F2" s="11">
        <v>4</v>
      </c>
      <c r="G2" s="11">
        <v>6</v>
      </c>
      <c r="H2" s="15"/>
      <c r="I2" s="11">
        <v>2</v>
      </c>
      <c r="J2" s="11">
        <v>16</v>
      </c>
      <c r="K2" s="20">
        <v>0</v>
      </c>
      <c r="L2">
        <f>VLOOKUP(A2,Sheet2!A$2:B$57,2,FALSE)</f>
        <v>98</v>
      </c>
      <c r="M2">
        <f>G2+J2+K2+L2*0.36</f>
        <v>57.28</v>
      </c>
    </row>
    <row r="3" spans="1:13">
      <c r="A3" s="2" t="s">
        <v>6</v>
      </c>
      <c r="B3" s="2" t="s">
        <v>7</v>
      </c>
      <c r="C3" s="2" t="s">
        <v>5</v>
      </c>
      <c r="D3" s="18" t="s">
        <v>96</v>
      </c>
      <c r="E3" s="15"/>
      <c r="F3" s="11">
        <v>5</v>
      </c>
      <c r="G3" s="11">
        <v>7.5</v>
      </c>
      <c r="H3" s="15"/>
      <c r="I3" s="11">
        <v>4</v>
      </c>
      <c r="J3" s="11">
        <v>30</v>
      </c>
      <c r="K3" s="20">
        <v>0</v>
      </c>
      <c r="L3">
        <f>VLOOKUP(A3,Sheet2!A$2:B$57,2,FALSE)</f>
        <v>99</v>
      </c>
      <c r="M3">
        <f t="shared" ref="M3:M66" si="0">G3+J3+K3+L3*0.36</f>
        <v>73.14</v>
      </c>
    </row>
    <row r="4" spans="1:13">
      <c r="A4" s="2" t="s">
        <v>8</v>
      </c>
      <c r="B4" s="2" t="s">
        <v>9</v>
      </c>
      <c r="C4" s="2" t="s">
        <v>5</v>
      </c>
      <c r="D4" s="18" t="s">
        <v>96</v>
      </c>
      <c r="E4" s="15"/>
      <c r="F4" s="11">
        <v>4</v>
      </c>
      <c r="G4" s="11">
        <v>6</v>
      </c>
      <c r="H4" s="15"/>
      <c r="I4" s="11">
        <v>0</v>
      </c>
      <c r="J4" s="11">
        <v>0</v>
      </c>
      <c r="K4" s="20">
        <v>0</v>
      </c>
      <c r="L4">
        <f>VLOOKUP(A4,Sheet2!A$2:B$57,2,FALSE)</f>
        <v>90</v>
      </c>
      <c r="M4">
        <f t="shared" si="0"/>
        <v>38.4</v>
      </c>
    </row>
    <row r="5" spans="1:13">
      <c r="A5" s="2" t="s">
        <v>10</v>
      </c>
      <c r="B5" s="2" t="s">
        <v>9</v>
      </c>
      <c r="C5" s="2" t="s">
        <v>5</v>
      </c>
      <c r="D5" s="18" t="s">
        <v>96</v>
      </c>
      <c r="E5" s="15"/>
      <c r="F5" s="11">
        <v>4</v>
      </c>
      <c r="G5" s="11">
        <v>6</v>
      </c>
      <c r="H5" s="15"/>
      <c r="I5" s="11">
        <v>0</v>
      </c>
      <c r="J5" s="11">
        <v>0</v>
      </c>
      <c r="K5" s="20">
        <v>0</v>
      </c>
      <c r="L5">
        <f>VLOOKUP(A5,Sheet2!A$2:B$57,2,FALSE)</f>
        <v>90.5</v>
      </c>
      <c r="M5">
        <f t="shared" si="0"/>
        <v>38.58</v>
      </c>
    </row>
    <row r="6" spans="1:13">
      <c r="A6" s="2" t="s">
        <v>11</v>
      </c>
      <c r="B6" s="2" t="s">
        <v>12</v>
      </c>
      <c r="C6" s="2" t="s">
        <v>5</v>
      </c>
      <c r="D6" s="18" t="s">
        <v>96</v>
      </c>
      <c r="E6" s="15"/>
      <c r="F6" s="11">
        <v>1</v>
      </c>
      <c r="G6" s="11">
        <v>1.5</v>
      </c>
      <c r="H6" s="15"/>
      <c r="I6" s="11">
        <v>0</v>
      </c>
      <c r="J6" s="11">
        <v>0</v>
      </c>
      <c r="K6" s="20">
        <v>0</v>
      </c>
      <c r="L6">
        <f>VLOOKUP(A6,Sheet2!A$2:B$57,2,FALSE)</f>
        <v>90.67</v>
      </c>
      <c r="M6">
        <f t="shared" si="0"/>
        <v>34.141199999999998</v>
      </c>
    </row>
    <row r="7" spans="1:13">
      <c r="A7" s="2" t="s">
        <v>13</v>
      </c>
      <c r="B7" s="2" t="s">
        <v>14</v>
      </c>
      <c r="C7" s="2" t="s">
        <v>5</v>
      </c>
      <c r="D7" s="18" t="s">
        <v>96</v>
      </c>
      <c r="E7" s="15"/>
      <c r="F7" s="11">
        <v>3</v>
      </c>
      <c r="G7" s="11">
        <v>4.5</v>
      </c>
      <c r="H7" s="15"/>
      <c r="I7" s="11">
        <v>0</v>
      </c>
      <c r="J7" s="11">
        <v>0</v>
      </c>
      <c r="K7" s="20">
        <v>0</v>
      </c>
      <c r="L7">
        <f>VLOOKUP(A7,Sheet2!A$2:B$57,2,FALSE)</f>
        <v>86</v>
      </c>
      <c r="M7">
        <f t="shared" si="0"/>
        <v>35.459999999999994</v>
      </c>
    </row>
    <row r="8" spans="1:13">
      <c r="A8" s="2" t="s">
        <v>15</v>
      </c>
      <c r="B8" s="2" t="s">
        <v>14</v>
      </c>
      <c r="C8" s="2" t="s">
        <v>5</v>
      </c>
      <c r="D8" s="18" t="s">
        <v>96</v>
      </c>
      <c r="E8" s="15"/>
      <c r="F8" s="11">
        <v>1</v>
      </c>
      <c r="G8" s="11">
        <v>1.5</v>
      </c>
      <c r="H8" s="15"/>
      <c r="I8" s="11">
        <v>0</v>
      </c>
      <c r="J8" s="11">
        <v>0</v>
      </c>
      <c r="K8" s="20">
        <v>0</v>
      </c>
      <c r="L8">
        <f>VLOOKUP(A8,Sheet2!A$2:B$57,2,FALSE)</f>
        <v>91</v>
      </c>
      <c r="M8">
        <f t="shared" si="0"/>
        <v>34.26</v>
      </c>
    </row>
    <row r="9" spans="1:13">
      <c r="A9" s="3" t="s">
        <v>16</v>
      </c>
      <c r="B9" s="3" t="s">
        <v>4</v>
      </c>
      <c r="C9" s="3" t="s">
        <v>17</v>
      </c>
      <c r="D9" s="18" t="s">
        <v>96</v>
      </c>
      <c r="E9" s="15"/>
      <c r="F9" s="11">
        <v>1</v>
      </c>
      <c r="G9" s="11">
        <v>1.5</v>
      </c>
      <c r="H9" s="15"/>
      <c r="I9" s="11">
        <v>0</v>
      </c>
      <c r="J9" s="11">
        <v>0</v>
      </c>
      <c r="K9" s="20">
        <v>0</v>
      </c>
      <c r="L9">
        <f>VLOOKUP(A9,Sheet2!A$2:B$57,2,FALSE)</f>
        <v>95</v>
      </c>
      <c r="M9">
        <f t="shared" si="0"/>
        <v>35.699999999999996</v>
      </c>
    </row>
    <row r="10" spans="1:13">
      <c r="A10" s="3" t="s">
        <v>18</v>
      </c>
      <c r="B10" s="3" t="s">
        <v>7</v>
      </c>
      <c r="C10" s="3" t="s">
        <v>17</v>
      </c>
      <c r="D10" s="18" t="s">
        <v>96</v>
      </c>
      <c r="E10" s="15"/>
      <c r="F10" s="11">
        <v>4</v>
      </c>
      <c r="G10" s="11">
        <v>6</v>
      </c>
      <c r="H10" s="15"/>
      <c r="I10" s="11">
        <v>0</v>
      </c>
      <c r="J10" s="11">
        <v>0</v>
      </c>
      <c r="K10" s="20">
        <v>0</v>
      </c>
      <c r="L10">
        <f>VLOOKUP(A10,Sheet2!A$2:B$57,2,FALSE)</f>
        <v>98</v>
      </c>
      <c r="M10">
        <f t="shared" si="0"/>
        <v>41.28</v>
      </c>
    </row>
    <row r="11" spans="1:13">
      <c r="A11" s="3" t="s">
        <v>19</v>
      </c>
      <c r="B11" s="3" t="s">
        <v>9</v>
      </c>
      <c r="C11" s="3" t="s">
        <v>17</v>
      </c>
      <c r="D11" s="18" t="s">
        <v>96</v>
      </c>
      <c r="E11" s="15"/>
      <c r="F11" s="11">
        <v>4</v>
      </c>
      <c r="G11" s="11">
        <v>6</v>
      </c>
      <c r="H11" s="15"/>
      <c r="I11" s="11">
        <v>0</v>
      </c>
      <c r="J11" s="11">
        <v>0</v>
      </c>
      <c r="K11" s="20">
        <v>0</v>
      </c>
      <c r="L11">
        <f>VLOOKUP(A11,Sheet2!A$2:B$57,2,FALSE)</f>
        <v>95.5</v>
      </c>
      <c r="M11">
        <f t="shared" si="0"/>
        <v>40.379999999999995</v>
      </c>
    </row>
    <row r="12" spans="1:13">
      <c r="A12" s="3" t="s">
        <v>20</v>
      </c>
      <c r="B12" s="3" t="s">
        <v>12</v>
      </c>
      <c r="C12" s="3" t="s">
        <v>17</v>
      </c>
      <c r="D12" s="18" t="s">
        <v>96</v>
      </c>
      <c r="E12" s="15"/>
      <c r="F12" s="11">
        <v>2</v>
      </c>
      <c r="G12" s="11">
        <v>3</v>
      </c>
      <c r="H12" s="15"/>
      <c r="I12" s="11">
        <v>0</v>
      </c>
      <c r="J12" s="11">
        <v>0</v>
      </c>
      <c r="K12" s="20">
        <v>0</v>
      </c>
      <c r="L12">
        <f>VLOOKUP(A12,Sheet2!A$2:B$57,2,FALSE)</f>
        <v>96</v>
      </c>
      <c r="M12">
        <f t="shared" si="0"/>
        <v>37.56</v>
      </c>
    </row>
    <row r="13" spans="1:13">
      <c r="A13" s="3" t="s">
        <v>21</v>
      </c>
      <c r="B13" s="3" t="s">
        <v>14</v>
      </c>
      <c r="C13" s="3" t="s">
        <v>17</v>
      </c>
      <c r="D13" s="18" t="s">
        <v>96</v>
      </c>
      <c r="E13" s="15"/>
      <c r="F13" s="11">
        <v>1</v>
      </c>
      <c r="G13" s="11">
        <v>1.5</v>
      </c>
      <c r="H13" s="15"/>
      <c r="I13" s="11">
        <v>0</v>
      </c>
      <c r="J13" s="11">
        <v>0</v>
      </c>
      <c r="K13" s="20">
        <v>0</v>
      </c>
      <c r="L13">
        <f>VLOOKUP(A13,Sheet2!A$2:B$57,2,FALSE)</f>
        <v>84</v>
      </c>
      <c r="M13">
        <f t="shared" si="0"/>
        <v>31.74</v>
      </c>
    </row>
    <row r="14" spans="1:13">
      <c r="A14" s="3" t="s">
        <v>104</v>
      </c>
      <c r="B14" s="3" t="s">
        <v>14</v>
      </c>
      <c r="C14" s="3" t="s">
        <v>17</v>
      </c>
      <c r="D14" s="18" t="s">
        <v>96</v>
      </c>
      <c r="E14" s="15"/>
      <c r="F14" s="11">
        <v>1</v>
      </c>
      <c r="G14" s="11">
        <v>0.5</v>
      </c>
      <c r="H14" s="15"/>
      <c r="I14" s="11">
        <v>0</v>
      </c>
      <c r="J14" s="11">
        <v>0</v>
      </c>
      <c r="K14" s="20">
        <v>0</v>
      </c>
      <c r="L14">
        <f>VLOOKUP(A14,Sheet2!A$2:B$57,2,FALSE)</f>
        <v>84</v>
      </c>
      <c r="M14">
        <f t="shared" si="0"/>
        <v>30.74</v>
      </c>
    </row>
    <row r="15" spans="1:13">
      <c r="A15" s="3" t="s">
        <v>22</v>
      </c>
      <c r="B15" s="3" t="s">
        <v>9</v>
      </c>
      <c r="C15" s="3" t="s">
        <v>17</v>
      </c>
      <c r="D15" s="18" t="s">
        <v>96</v>
      </c>
      <c r="E15" s="15"/>
      <c r="F15" s="11">
        <v>0</v>
      </c>
      <c r="G15" s="11">
        <v>0</v>
      </c>
      <c r="H15" s="15"/>
      <c r="I15" s="11">
        <v>0</v>
      </c>
      <c r="J15" s="11">
        <v>0</v>
      </c>
      <c r="K15" s="20">
        <v>0</v>
      </c>
      <c r="L15">
        <f>VLOOKUP(A15,Sheet2!A$2:B$57,2,FALSE)</f>
        <v>90</v>
      </c>
      <c r="M15">
        <f t="shared" si="0"/>
        <v>32.4</v>
      </c>
    </row>
    <row r="16" spans="1:13">
      <c r="A16" s="4" t="s">
        <v>23</v>
      </c>
      <c r="B16" s="4" t="s">
        <v>4</v>
      </c>
      <c r="C16" s="4" t="s">
        <v>24</v>
      </c>
      <c r="D16" s="18" t="s">
        <v>96</v>
      </c>
      <c r="E16" s="15"/>
      <c r="F16" s="11">
        <v>1</v>
      </c>
      <c r="G16" s="11">
        <v>1.5</v>
      </c>
      <c r="H16" s="15"/>
      <c r="I16" s="11">
        <v>0</v>
      </c>
      <c r="J16" s="11">
        <v>0</v>
      </c>
      <c r="K16" s="20">
        <v>0</v>
      </c>
      <c r="L16">
        <f>VLOOKUP(A16,Sheet2!A$2:B$57,2,FALSE)</f>
        <v>95</v>
      </c>
      <c r="M16">
        <f t="shared" si="0"/>
        <v>35.699999999999996</v>
      </c>
    </row>
    <row r="17" spans="1:13">
      <c r="A17" s="4" t="s">
        <v>25</v>
      </c>
      <c r="B17" s="4" t="s">
        <v>12</v>
      </c>
      <c r="C17" s="4" t="s">
        <v>24</v>
      </c>
      <c r="D17" s="18" t="s">
        <v>96</v>
      </c>
      <c r="E17" s="15"/>
      <c r="F17" s="11">
        <v>0</v>
      </c>
      <c r="G17" s="11">
        <v>0</v>
      </c>
      <c r="H17" s="15"/>
      <c r="I17" s="11">
        <v>0</v>
      </c>
      <c r="J17" s="11">
        <v>0</v>
      </c>
      <c r="K17" s="20">
        <v>0</v>
      </c>
      <c r="L17">
        <f>VLOOKUP(A17,Sheet2!A$2:B$57,2,FALSE)</f>
        <v>89</v>
      </c>
      <c r="M17">
        <f t="shared" si="0"/>
        <v>32.04</v>
      </c>
    </row>
    <row r="18" spans="1:13">
      <c r="A18" s="4" t="s">
        <v>26</v>
      </c>
      <c r="B18" s="4" t="s">
        <v>14</v>
      </c>
      <c r="C18" s="4" t="s">
        <v>24</v>
      </c>
      <c r="D18" s="18" t="s">
        <v>96</v>
      </c>
      <c r="E18" s="15"/>
      <c r="F18" s="11">
        <v>0</v>
      </c>
      <c r="G18" s="11">
        <v>0</v>
      </c>
      <c r="H18" s="15"/>
      <c r="I18" s="11">
        <v>0</v>
      </c>
      <c r="J18" s="11">
        <v>0</v>
      </c>
      <c r="K18" s="20">
        <v>0</v>
      </c>
      <c r="L18">
        <f>VLOOKUP(A18,Sheet2!A$2:B$57,2,FALSE)</f>
        <v>95</v>
      </c>
      <c r="M18">
        <f t="shared" si="0"/>
        <v>34.199999999999996</v>
      </c>
    </row>
    <row r="19" spans="1:13">
      <c r="A19" s="4" t="s">
        <v>27</v>
      </c>
      <c r="B19" s="4" t="s">
        <v>9</v>
      </c>
      <c r="C19" s="4" t="s">
        <v>24</v>
      </c>
      <c r="D19" s="18" t="s">
        <v>96</v>
      </c>
      <c r="E19" s="15"/>
      <c r="F19" s="11">
        <v>0</v>
      </c>
      <c r="G19" s="11">
        <v>0</v>
      </c>
      <c r="H19" s="15"/>
      <c r="I19" s="11">
        <v>0</v>
      </c>
      <c r="J19" s="11">
        <v>0</v>
      </c>
      <c r="K19" s="20">
        <v>0</v>
      </c>
      <c r="L19">
        <f>VLOOKUP(A19,Sheet2!A$2:B$57,2,FALSE)</f>
        <v>95</v>
      </c>
      <c r="M19">
        <f t="shared" si="0"/>
        <v>34.199999999999996</v>
      </c>
    </row>
    <row r="20" spans="1:13">
      <c r="A20" s="4" t="s">
        <v>101</v>
      </c>
      <c r="B20" s="4" t="s">
        <v>7</v>
      </c>
      <c r="C20" s="4" t="s">
        <v>24</v>
      </c>
      <c r="D20" s="18" t="s">
        <v>96</v>
      </c>
      <c r="E20" s="15"/>
      <c r="F20" s="11">
        <v>2</v>
      </c>
      <c r="G20" s="11">
        <v>1</v>
      </c>
      <c r="H20" s="15"/>
      <c r="I20" s="11">
        <v>0</v>
      </c>
      <c r="J20" s="11">
        <v>0</v>
      </c>
      <c r="K20" s="20">
        <v>0</v>
      </c>
      <c r="L20">
        <f>VLOOKUP(A20,Sheet2!A$2:B$57,2,FALSE)</f>
        <v>97</v>
      </c>
      <c r="M20">
        <f t="shared" si="0"/>
        <v>35.92</v>
      </c>
    </row>
    <row r="21" spans="1:13">
      <c r="A21" s="4" t="s">
        <v>28</v>
      </c>
      <c r="B21" s="4" t="s">
        <v>9</v>
      </c>
      <c r="C21" s="4" t="s">
        <v>24</v>
      </c>
      <c r="D21" s="18" t="s">
        <v>96</v>
      </c>
      <c r="E21" s="15"/>
      <c r="F21" s="11">
        <v>1</v>
      </c>
      <c r="G21" s="11">
        <v>1.5</v>
      </c>
      <c r="H21" s="15"/>
      <c r="I21" s="11">
        <v>0</v>
      </c>
      <c r="J21" s="11">
        <v>0</v>
      </c>
      <c r="K21" s="20">
        <v>0</v>
      </c>
      <c r="L21">
        <f>VLOOKUP(A21,Sheet2!A$2:B$57,2,FALSE)</f>
        <v>90</v>
      </c>
      <c r="M21">
        <f t="shared" si="0"/>
        <v>33.9</v>
      </c>
    </row>
    <row r="22" spans="1:13">
      <c r="A22" s="4" t="s">
        <v>29</v>
      </c>
      <c r="B22" s="4" t="s">
        <v>14</v>
      </c>
      <c r="C22" s="4" t="s">
        <v>24</v>
      </c>
      <c r="D22" s="18" t="s">
        <v>96</v>
      </c>
      <c r="E22" s="15"/>
      <c r="F22" s="11">
        <v>4</v>
      </c>
      <c r="G22" s="11">
        <v>6</v>
      </c>
      <c r="H22" s="15"/>
      <c r="I22" s="11">
        <v>0</v>
      </c>
      <c r="J22" s="11">
        <v>0</v>
      </c>
      <c r="K22" s="20">
        <v>0</v>
      </c>
      <c r="L22">
        <f>VLOOKUP(A22,Sheet2!A$2:B$57,2,FALSE)</f>
        <v>86</v>
      </c>
      <c r="M22">
        <f t="shared" si="0"/>
        <v>36.959999999999994</v>
      </c>
    </row>
    <row r="23" spans="1:13">
      <c r="A23" s="5" t="s">
        <v>30</v>
      </c>
      <c r="B23" s="5" t="s">
        <v>7</v>
      </c>
      <c r="C23" s="5" t="s">
        <v>31</v>
      </c>
      <c r="D23" s="18" t="s">
        <v>96</v>
      </c>
      <c r="E23" s="15"/>
      <c r="F23" s="11">
        <v>1</v>
      </c>
      <c r="G23" s="11">
        <v>1.5</v>
      </c>
      <c r="H23" s="15"/>
      <c r="I23" s="11">
        <v>1</v>
      </c>
      <c r="J23" s="11">
        <v>8</v>
      </c>
      <c r="K23" s="20">
        <v>0</v>
      </c>
      <c r="L23">
        <f>VLOOKUP(A23,Sheet2!A$2:B$57,2,FALSE)</f>
        <v>96</v>
      </c>
      <c r="M23">
        <f t="shared" si="0"/>
        <v>44.06</v>
      </c>
    </row>
    <row r="24" spans="1:13">
      <c r="A24" s="5" t="s">
        <v>32</v>
      </c>
      <c r="B24" s="5" t="s">
        <v>14</v>
      </c>
      <c r="C24" s="5" t="s">
        <v>31</v>
      </c>
      <c r="D24" s="18" t="s">
        <v>96</v>
      </c>
      <c r="E24" s="15"/>
      <c r="F24" s="11">
        <v>0</v>
      </c>
      <c r="G24" s="11">
        <v>0</v>
      </c>
      <c r="H24" s="15"/>
      <c r="I24" s="11">
        <v>0</v>
      </c>
      <c r="J24" s="11">
        <v>0</v>
      </c>
      <c r="K24" s="20">
        <v>0</v>
      </c>
      <c r="L24">
        <f>VLOOKUP(A24,Sheet2!A$2:B$57,2,FALSE)</f>
        <v>88</v>
      </c>
      <c r="M24">
        <f t="shared" si="0"/>
        <v>31.68</v>
      </c>
    </row>
    <row r="25" spans="1:13">
      <c r="A25" s="5" t="s">
        <v>33</v>
      </c>
      <c r="B25" s="5" t="s">
        <v>9</v>
      </c>
      <c r="C25" s="5" t="s">
        <v>31</v>
      </c>
      <c r="D25" s="18" t="s">
        <v>96</v>
      </c>
      <c r="E25" s="15"/>
      <c r="F25" s="11">
        <v>0</v>
      </c>
      <c r="G25" s="11">
        <v>0</v>
      </c>
      <c r="H25" s="15"/>
      <c r="I25" s="11">
        <v>0</v>
      </c>
      <c r="J25" s="11">
        <v>0</v>
      </c>
      <c r="K25" s="20">
        <v>0</v>
      </c>
      <c r="L25">
        <f>VLOOKUP(A25,Sheet2!A$2:B$57,2,FALSE)</f>
        <v>94</v>
      </c>
      <c r="M25">
        <f t="shared" si="0"/>
        <v>33.839999999999996</v>
      </c>
    </row>
    <row r="26" spans="1:13">
      <c r="A26" s="5" t="s">
        <v>34</v>
      </c>
      <c r="B26" s="5" t="s">
        <v>4</v>
      </c>
      <c r="C26" s="5" t="s">
        <v>31</v>
      </c>
      <c r="D26" s="18" t="s">
        <v>96</v>
      </c>
      <c r="E26" s="15"/>
      <c r="F26" s="11">
        <v>0</v>
      </c>
      <c r="G26" s="11">
        <v>0</v>
      </c>
      <c r="H26" s="15"/>
      <c r="I26" s="11">
        <v>0</v>
      </c>
      <c r="J26" s="11">
        <v>0</v>
      </c>
      <c r="K26" s="20">
        <v>0</v>
      </c>
      <c r="L26">
        <f>VLOOKUP(A26,Sheet2!A$2:B$57,2,FALSE)</f>
        <v>98</v>
      </c>
      <c r="M26">
        <f t="shared" si="0"/>
        <v>35.28</v>
      </c>
    </row>
    <row r="27" spans="1:13">
      <c r="A27" s="5" t="s">
        <v>35</v>
      </c>
      <c r="B27" s="5" t="s">
        <v>9</v>
      </c>
      <c r="C27" s="5" t="s">
        <v>31</v>
      </c>
      <c r="D27" s="18" t="s">
        <v>96</v>
      </c>
      <c r="E27" s="15"/>
      <c r="F27" s="11">
        <v>2</v>
      </c>
      <c r="G27" s="11">
        <v>3</v>
      </c>
      <c r="H27" s="15"/>
      <c r="I27" s="11">
        <v>0</v>
      </c>
      <c r="J27" s="11">
        <v>0</v>
      </c>
      <c r="K27" s="20">
        <v>0</v>
      </c>
      <c r="L27">
        <f>VLOOKUP(A27,Sheet2!A$2:B$57,2,FALSE)</f>
        <v>94</v>
      </c>
      <c r="M27">
        <f t="shared" si="0"/>
        <v>36.839999999999996</v>
      </c>
    </row>
    <row r="28" spans="1:13">
      <c r="A28" s="5" t="s">
        <v>36</v>
      </c>
      <c r="B28" s="5" t="s">
        <v>12</v>
      </c>
      <c r="C28" s="5" t="s">
        <v>31</v>
      </c>
      <c r="D28" s="18" t="s">
        <v>96</v>
      </c>
      <c r="E28" s="15"/>
      <c r="F28" s="11">
        <v>1</v>
      </c>
      <c r="G28" s="11">
        <v>1.5</v>
      </c>
      <c r="H28" s="15"/>
      <c r="I28" s="11">
        <v>0</v>
      </c>
      <c r="J28" s="11">
        <v>0</v>
      </c>
      <c r="K28" s="20">
        <v>0</v>
      </c>
      <c r="L28">
        <f>VLOOKUP(A28,Sheet2!A$2:B$57,2,FALSE)</f>
        <v>97.67</v>
      </c>
      <c r="M28">
        <f t="shared" si="0"/>
        <v>36.661200000000001</v>
      </c>
    </row>
    <row r="29" spans="1:13">
      <c r="A29" s="5" t="s">
        <v>37</v>
      </c>
      <c r="B29" s="5" t="s">
        <v>14</v>
      </c>
      <c r="C29" s="5" t="s">
        <v>31</v>
      </c>
      <c r="D29" s="18" t="s">
        <v>96</v>
      </c>
      <c r="E29" s="15"/>
      <c r="F29" s="11">
        <v>2</v>
      </c>
      <c r="G29" s="11">
        <v>3</v>
      </c>
      <c r="H29" s="15"/>
      <c r="I29" s="11">
        <v>0</v>
      </c>
      <c r="J29" s="11">
        <v>0</v>
      </c>
      <c r="K29" s="20">
        <v>0</v>
      </c>
      <c r="L29">
        <f>VLOOKUP(A29,Sheet2!A$2:B$57,2,FALSE)</f>
        <v>89</v>
      </c>
      <c r="M29">
        <f t="shared" si="0"/>
        <v>35.04</v>
      </c>
    </row>
    <row r="30" spans="1:13">
      <c r="A30" s="6" t="s">
        <v>38</v>
      </c>
      <c r="B30" s="6" t="s">
        <v>4</v>
      </c>
      <c r="C30" s="6" t="s">
        <v>39</v>
      </c>
      <c r="D30" s="18" t="s">
        <v>96</v>
      </c>
      <c r="E30" s="15"/>
      <c r="F30" s="11">
        <v>4</v>
      </c>
      <c r="G30" s="11">
        <v>6</v>
      </c>
      <c r="H30" s="15"/>
      <c r="I30" s="11">
        <v>0</v>
      </c>
      <c r="J30" s="11">
        <v>0</v>
      </c>
      <c r="K30" s="20">
        <v>0</v>
      </c>
      <c r="L30">
        <f>VLOOKUP(A30,Sheet2!A$2:B$57,2,FALSE)</f>
        <v>98</v>
      </c>
      <c r="M30">
        <f t="shared" si="0"/>
        <v>41.28</v>
      </c>
    </row>
    <row r="31" spans="1:13">
      <c r="A31" s="6" t="s">
        <v>40</v>
      </c>
      <c r="B31" s="6" t="s">
        <v>14</v>
      </c>
      <c r="C31" s="6" t="s">
        <v>39</v>
      </c>
      <c r="D31" s="18" t="s">
        <v>96</v>
      </c>
      <c r="E31" s="15"/>
      <c r="F31" s="11">
        <v>0</v>
      </c>
      <c r="G31" s="11">
        <v>0</v>
      </c>
      <c r="H31" s="15"/>
      <c r="I31" s="11">
        <v>0</v>
      </c>
      <c r="J31" s="11">
        <v>0</v>
      </c>
      <c r="K31" s="20">
        <v>0</v>
      </c>
      <c r="L31">
        <f>VLOOKUP(A31,Sheet2!A$2:B$57,2,FALSE)</f>
        <v>87</v>
      </c>
      <c r="M31">
        <f t="shared" si="0"/>
        <v>31.32</v>
      </c>
    </row>
    <row r="32" spans="1:13">
      <c r="A32" s="6" t="s">
        <v>41</v>
      </c>
      <c r="B32" s="6" t="s">
        <v>14</v>
      </c>
      <c r="C32" s="6" t="s">
        <v>39</v>
      </c>
      <c r="D32" s="18" t="s">
        <v>96</v>
      </c>
      <c r="E32" s="15"/>
      <c r="F32" s="11">
        <v>0</v>
      </c>
      <c r="G32" s="11">
        <v>0</v>
      </c>
      <c r="H32" s="15"/>
      <c r="I32" s="11">
        <v>0</v>
      </c>
      <c r="J32" s="11">
        <v>0</v>
      </c>
      <c r="K32" s="20">
        <v>0</v>
      </c>
      <c r="L32">
        <f>VLOOKUP(A32,Sheet2!A$2:B$57,2,FALSE)</f>
        <v>85</v>
      </c>
      <c r="M32">
        <f t="shared" si="0"/>
        <v>30.599999999999998</v>
      </c>
    </row>
    <row r="33" spans="1:13">
      <c r="A33" s="6" t="s">
        <v>42</v>
      </c>
      <c r="B33" s="6" t="s">
        <v>9</v>
      </c>
      <c r="C33" s="6" t="s">
        <v>39</v>
      </c>
      <c r="D33" s="18" t="s">
        <v>96</v>
      </c>
      <c r="E33" s="15"/>
      <c r="F33" s="11">
        <v>0</v>
      </c>
      <c r="G33" s="11">
        <v>0</v>
      </c>
      <c r="H33" s="15"/>
      <c r="I33" s="11">
        <v>0</v>
      </c>
      <c r="J33" s="11">
        <v>0</v>
      </c>
      <c r="K33" s="20">
        <v>0</v>
      </c>
      <c r="L33">
        <f>VLOOKUP(A33,Sheet2!A$2:B$57,2,FALSE)</f>
        <v>95</v>
      </c>
      <c r="M33">
        <f t="shared" si="0"/>
        <v>34.199999999999996</v>
      </c>
    </row>
    <row r="34" spans="1:13">
      <c r="A34" s="6" t="s">
        <v>43</v>
      </c>
      <c r="B34" s="6" t="s">
        <v>9</v>
      </c>
      <c r="C34" s="6" t="s">
        <v>39</v>
      </c>
      <c r="D34" s="18" t="s">
        <v>96</v>
      </c>
      <c r="E34" s="15"/>
      <c r="F34" s="11">
        <v>0</v>
      </c>
      <c r="G34" s="11">
        <v>0</v>
      </c>
      <c r="H34" s="15"/>
      <c r="I34" s="11">
        <v>0</v>
      </c>
      <c r="J34" s="11">
        <v>0</v>
      </c>
      <c r="K34" s="20">
        <v>0</v>
      </c>
      <c r="L34">
        <f>VLOOKUP(A34,Sheet2!A$2:B$57,2,FALSE)</f>
        <v>81.5</v>
      </c>
      <c r="M34">
        <f t="shared" si="0"/>
        <v>29.34</v>
      </c>
    </row>
    <row r="35" spans="1:13">
      <c r="A35" s="6" t="s">
        <v>44</v>
      </c>
      <c r="B35" s="6" t="s">
        <v>7</v>
      </c>
      <c r="C35" s="6" t="s">
        <v>39</v>
      </c>
      <c r="D35" s="18" t="s">
        <v>96</v>
      </c>
      <c r="E35" s="15"/>
      <c r="F35" s="11">
        <v>1</v>
      </c>
      <c r="G35" s="11">
        <v>1.5</v>
      </c>
      <c r="H35" s="15"/>
      <c r="I35" s="11">
        <v>0</v>
      </c>
      <c r="J35" s="11">
        <v>0</v>
      </c>
      <c r="K35" s="20">
        <v>0</v>
      </c>
      <c r="L35">
        <f>VLOOKUP(A35,Sheet2!A$2:B$57,2,FALSE)</f>
        <v>96</v>
      </c>
      <c r="M35">
        <f t="shared" si="0"/>
        <v>36.06</v>
      </c>
    </row>
    <row r="36" spans="1:13">
      <c r="A36" s="6" t="s">
        <v>45</v>
      </c>
      <c r="B36" s="6" t="s">
        <v>12</v>
      </c>
      <c r="C36" s="6" t="s">
        <v>39</v>
      </c>
      <c r="D36" s="18" t="s">
        <v>96</v>
      </c>
      <c r="E36" s="15"/>
      <c r="F36" s="11">
        <v>2</v>
      </c>
      <c r="G36" s="11">
        <v>3</v>
      </c>
      <c r="H36" s="15"/>
      <c r="I36" s="11">
        <v>0</v>
      </c>
      <c r="J36" s="11">
        <v>0</v>
      </c>
      <c r="K36" s="20">
        <v>0</v>
      </c>
      <c r="L36">
        <f>VLOOKUP(A36,Sheet2!A$2:B$57,2,FALSE)</f>
        <v>91.33</v>
      </c>
      <c r="M36">
        <f t="shared" si="0"/>
        <v>35.878799999999998</v>
      </c>
    </row>
    <row r="37" spans="1:13">
      <c r="A37" s="7" t="s">
        <v>46</v>
      </c>
      <c r="B37" s="7" t="s">
        <v>7</v>
      </c>
      <c r="C37" s="7" t="s">
        <v>47</v>
      </c>
      <c r="D37" s="18" t="s">
        <v>96</v>
      </c>
      <c r="E37" s="15"/>
      <c r="F37" s="11">
        <v>1</v>
      </c>
      <c r="G37" s="11">
        <v>1.5</v>
      </c>
      <c r="H37" s="15"/>
      <c r="I37" s="11">
        <v>0</v>
      </c>
      <c r="J37" s="11">
        <v>0</v>
      </c>
      <c r="K37" s="20">
        <v>0</v>
      </c>
      <c r="L37">
        <f>VLOOKUP(A37,Sheet2!A$2:B$57,2,FALSE)</f>
        <v>96</v>
      </c>
      <c r="M37">
        <f t="shared" si="0"/>
        <v>36.06</v>
      </c>
    </row>
    <row r="38" spans="1:13">
      <c r="A38" s="7" t="s">
        <v>48</v>
      </c>
      <c r="B38" s="7" t="s">
        <v>12</v>
      </c>
      <c r="C38" s="7" t="s">
        <v>47</v>
      </c>
      <c r="D38" s="18" t="s">
        <v>96</v>
      </c>
      <c r="E38" s="15"/>
      <c r="F38" s="11">
        <v>2</v>
      </c>
      <c r="G38" s="11">
        <v>3</v>
      </c>
      <c r="H38" s="15"/>
      <c r="I38" s="11">
        <v>0</v>
      </c>
      <c r="J38" s="11">
        <v>0</v>
      </c>
      <c r="K38" s="20">
        <v>0</v>
      </c>
      <c r="L38">
        <f>VLOOKUP(A38,Sheet2!A$2:B$57,2,FALSE)</f>
        <v>90</v>
      </c>
      <c r="M38">
        <f t="shared" si="0"/>
        <v>35.4</v>
      </c>
    </row>
    <row r="39" spans="1:13">
      <c r="A39" s="7" t="s">
        <v>49</v>
      </c>
      <c r="B39" s="7" t="s">
        <v>14</v>
      </c>
      <c r="C39" s="7" t="s">
        <v>47</v>
      </c>
      <c r="D39" s="18" t="s">
        <v>96</v>
      </c>
      <c r="E39" s="15"/>
      <c r="F39" s="11">
        <v>0</v>
      </c>
      <c r="G39" s="11">
        <v>0</v>
      </c>
      <c r="H39" s="15"/>
      <c r="I39" s="11">
        <v>0</v>
      </c>
      <c r="J39" s="11">
        <v>0</v>
      </c>
      <c r="K39" s="20">
        <v>0</v>
      </c>
      <c r="L39">
        <f>VLOOKUP(A39,Sheet2!A$2:B$57,2,FALSE)</f>
        <v>91</v>
      </c>
      <c r="M39">
        <f t="shared" si="0"/>
        <v>32.76</v>
      </c>
    </row>
    <row r="40" spans="1:13">
      <c r="A40" s="7" t="s">
        <v>50</v>
      </c>
      <c r="B40" s="7" t="s">
        <v>9</v>
      </c>
      <c r="C40" s="7" t="s">
        <v>47</v>
      </c>
      <c r="D40" s="18" t="s">
        <v>96</v>
      </c>
      <c r="E40" s="15"/>
      <c r="F40" s="11">
        <v>0</v>
      </c>
      <c r="G40" s="11">
        <v>0</v>
      </c>
      <c r="H40" s="15"/>
      <c r="I40" s="11">
        <v>0</v>
      </c>
      <c r="J40" s="11">
        <v>0</v>
      </c>
      <c r="K40" s="20">
        <v>0</v>
      </c>
      <c r="L40">
        <f>VLOOKUP(A40,Sheet2!A$2:B$57,2,FALSE)</f>
        <v>79.5</v>
      </c>
      <c r="M40">
        <f t="shared" si="0"/>
        <v>28.619999999999997</v>
      </c>
    </row>
    <row r="41" spans="1:13">
      <c r="A41" s="7" t="s">
        <v>51</v>
      </c>
      <c r="B41" s="7" t="s">
        <v>9</v>
      </c>
      <c r="C41" s="7" t="s">
        <v>47</v>
      </c>
      <c r="D41" s="18" t="s">
        <v>96</v>
      </c>
      <c r="E41" s="15"/>
      <c r="F41" s="11">
        <v>0</v>
      </c>
      <c r="G41" s="11">
        <v>0</v>
      </c>
      <c r="H41" s="15"/>
      <c r="I41" s="11">
        <v>0</v>
      </c>
      <c r="J41" s="11">
        <v>0</v>
      </c>
      <c r="K41" s="20">
        <v>0</v>
      </c>
      <c r="L41">
        <f>VLOOKUP(A41,Sheet2!A$2:B$57,2,FALSE)</f>
        <v>90</v>
      </c>
      <c r="M41">
        <f t="shared" si="0"/>
        <v>32.4</v>
      </c>
    </row>
    <row r="42" spans="1:13">
      <c r="A42" s="7" t="s">
        <v>52</v>
      </c>
      <c r="B42" s="7" t="s">
        <v>4</v>
      </c>
      <c r="C42" s="7" t="s">
        <v>47</v>
      </c>
      <c r="D42" s="18" t="s">
        <v>96</v>
      </c>
      <c r="E42" s="15"/>
      <c r="F42" s="11">
        <v>0</v>
      </c>
      <c r="G42" s="11">
        <v>0</v>
      </c>
      <c r="H42" s="15"/>
      <c r="I42" s="11">
        <v>0</v>
      </c>
      <c r="J42" s="11">
        <v>0</v>
      </c>
      <c r="K42" s="20">
        <v>0</v>
      </c>
      <c r="L42">
        <f>VLOOKUP(A42,Sheet2!A$2:B$57,2,FALSE)</f>
        <v>93</v>
      </c>
      <c r="M42">
        <f t="shared" si="0"/>
        <v>33.479999999999997</v>
      </c>
    </row>
    <row r="43" spans="1:13">
      <c r="A43" s="7" t="s">
        <v>53</v>
      </c>
      <c r="B43" s="7" t="s">
        <v>14</v>
      </c>
      <c r="C43" s="7" t="s">
        <v>47</v>
      </c>
      <c r="D43" s="18" t="s">
        <v>96</v>
      </c>
      <c r="E43" s="15"/>
      <c r="F43" s="11">
        <v>1</v>
      </c>
      <c r="G43" s="11">
        <v>1.5</v>
      </c>
      <c r="H43" s="15"/>
      <c r="I43" s="11">
        <v>0</v>
      </c>
      <c r="J43" s="11">
        <v>0</v>
      </c>
      <c r="K43" s="20">
        <v>0</v>
      </c>
      <c r="L43">
        <f>VLOOKUP(A43,Sheet2!A$2:B$57,2,FALSE)</f>
        <v>87</v>
      </c>
      <c r="M43">
        <f t="shared" si="0"/>
        <v>32.82</v>
      </c>
    </row>
    <row r="44" spans="1:13">
      <c r="A44" s="8" t="s">
        <v>54</v>
      </c>
      <c r="B44" s="8" t="s">
        <v>4</v>
      </c>
      <c r="C44" s="8" t="s">
        <v>55</v>
      </c>
      <c r="D44" s="18" t="s">
        <v>96</v>
      </c>
      <c r="E44" s="15"/>
      <c r="F44" s="11">
        <v>3</v>
      </c>
      <c r="G44" s="11">
        <v>4.5</v>
      </c>
      <c r="H44" s="15"/>
      <c r="I44" s="11">
        <v>2</v>
      </c>
      <c r="J44" s="11">
        <v>16</v>
      </c>
      <c r="K44" s="20">
        <v>0</v>
      </c>
      <c r="L44">
        <f>VLOOKUP(A44,Sheet2!A$2:B$57,2,FALSE)</f>
        <v>91</v>
      </c>
      <c r="M44">
        <f t="shared" si="0"/>
        <v>53.26</v>
      </c>
    </row>
    <row r="45" spans="1:13">
      <c r="A45" s="8" t="s">
        <v>56</v>
      </c>
      <c r="B45" s="8" t="s">
        <v>12</v>
      </c>
      <c r="C45" s="8" t="s">
        <v>55</v>
      </c>
      <c r="D45" s="18" t="s">
        <v>96</v>
      </c>
      <c r="E45" s="15"/>
      <c r="F45" s="11">
        <v>0</v>
      </c>
      <c r="G45" s="11">
        <v>0</v>
      </c>
      <c r="H45" s="15"/>
      <c r="I45" s="11">
        <v>0</v>
      </c>
      <c r="J45" s="11">
        <v>0</v>
      </c>
      <c r="K45" s="20">
        <v>0</v>
      </c>
      <c r="L45">
        <f>VLOOKUP(A45,Sheet2!A$2:B$57,2,FALSE)</f>
        <v>90.67</v>
      </c>
      <c r="M45">
        <f t="shared" si="0"/>
        <v>32.641199999999998</v>
      </c>
    </row>
    <row r="46" spans="1:13">
      <c r="A46" s="8" t="s">
        <v>57</v>
      </c>
      <c r="B46" s="8" t="s">
        <v>14</v>
      </c>
      <c r="C46" s="8" t="s">
        <v>55</v>
      </c>
      <c r="D46" s="18" t="s">
        <v>96</v>
      </c>
      <c r="E46" s="15"/>
      <c r="F46" s="11">
        <v>0</v>
      </c>
      <c r="G46" s="11">
        <v>0</v>
      </c>
      <c r="H46" s="15"/>
      <c r="I46" s="11">
        <v>0</v>
      </c>
      <c r="J46" s="11">
        <v>0</v>
      </c>
      <c r="K46" s="20">
        <v>0</v>
      </c>
      <c r="L46">
        <f>VLOOKUP(A46,Sheet2!A$2:B$57,2,FALSE)</f>
        <v>80</v>
      </c>
      <c r="M46">
        <f t="shared" si="0"/>
        <v>28.799999999999997</v>
      </c>
    </row>
    <row r="47" spans="1:13">
      <c r="A47" s="8" t="s">
        <v>58</v>
      </c>
      <c r="B47" s="8" t="s">
        <v>9</v>
      </c>
      <c r="C47" s="8" t="s">
        <v>55</v>
      </c>
      <c r="D47" s="18" t="s">
        <v>96</v>
      </c>
      <c r="E47" s="15"/>
      <c r="F47" s="11">
        <v>0</v>
      </c>
      <c r="G47" s="11">
        <v>0</v>
      </c>
      <c r="H47" s="15"/>
      <c r="I47" s="11">
        <v>0</v>
      </c>
      <c r="J47" s="11">
        <v>0</v>
      </c>
      <c r="K47" s="20">
        <v>0</v>
      </c>
      <c r="L47">
        <f>VLOOKUP(A47,Sheet2!A$2:B$57,2,FALSE)</f>
        <v>89.5</v>
      </c>
      <c r="M47">
        <f t="shared" si="0"/>
        <v>32.22</v>
      </c>
    </row>
    <row r="48" spans="1:13">
      <c r="A48" s="8" t="s">
        <v>59</v>
      </c>
      <c r="B48" s="8" t="s">
        <v>7</v>
      </c>
      <c r="C48" s="8" t="s">
        <v>55</v>
      </c>
      <c r="D48" s="18" t="s">
        <v>96</v>
      </c>
      <c r="E48" s="15"/>
      <c r="F48" s="11">
        <v>5</v>
      </c>
      <c r="G48" s="11">
        <v>7.5</v>
      </c>
      <c r="H48" s="15"/>
      <c r="I48" s="11">
        <v>2</v>
      </c>
      <c r="J48" s="11">
        <v>16</v>
      </c>
      <c r="K48" s="20">
        <v>0</v>
      </c>
      <c r="L48">
        <f>VLOOKUP(A48,Sheet2!A$2:B$57,2,FALSE)</f>
        <v>99</v>
      </c>
      <c r="M48">
        <f t="shared" si="0"/>
        <v>59.14</v>
      </c>
    </row>
    <row r="49" spans="1:13">
      <c r="A49" s="8" t="s">
        <v>60</v>
      </c>
      <c r="B49" s="8" t="s">
        <v>9</v>
      </c>
      <c r="C49" s="8" t="s">
        <v>55</v>
      </c>
      <c r="D49" s="18" t="s">
        <v>96</v>
      </c>
      <c r="E49" s="15"/>
      <c r="F49" s="11">
        <v>4</v>
      </c>
      <c r="G49" s="11">
        <v>6</v>
      </c>
      <c r="H49" s="15"/>
      <c r="I49" s="11">
        <v>2</v>
      </c>
      <c r="J49" s="11">
        <v>16</v>
      </c>
      <c r="K49" s="20">
        <v>0</v>
      </c>
      <c r="L49">
        <f>VLOOKUP(A49,Sheet2!A$2:B$57,2,FALSE)</f>
        <v>90.5</v>
      </c>
      <c r="M49">
        <f t="shared" si="0"/>
        <v>54.58</v>
      </c>
    </row>
    <row r="50" spans="1:13">
      <c r="A50" s="8" t="s">
        <v>61</v>
      </c>
      <c r="B50" s="8" t="s">
        <v>14</v>
      </c>
      <c r="C50" s="8" t="s">
        <v>55</v>
      </c>
      <c r="D50" s="18" t="s">
        <v>96</v>
      </c>
      <c r="E50" s="15"/>
      <c r="F50" s="11">
        <v>4</v>
      </c>
      <c r="G50" s="11">
        <v>6</v>
      </c>
      <c r="H50" s="15"/>
      <c r="I50" s="11">
        <v>1</v>
      </c>
      <c r="J50" s="11">
        <v>8</v>
      </c>
      <c r="K50" s="20">
        <v>0</v>
      </c>
      <c r="L50">
        <f>VLOOKUP(A50,Sheet2!A$2:B$57,2,FALSE)</f>
        <v>93</v>
      </c>
      <c r="M50">
        <f t="shared" si="0"/>
        <v>47.48</v>
      </c>
    </row>
    <row r="51" spans="1:13">
      <c r="A51" s="9" t="s">
        <v>62</v>
      </c>
      <c r="B51" s="9" t="s">
        <v>7</v>
      </c>
      <c r="C51" s="9" t="s">
        <v>63</v>
      </c>
      <c r="D51" s="18" t="s">
        <v>96</v>
      </c>
      <c r="E51" s="15"/>
      <c r="F51" s="11">
        <v>6</v>
      </c>
      <c r="G51" s="11">
        <v>9</v>
      </c>
      <c r="H51" s="15"/>
      <c r="I51" s="11">
        <v>0</v>
      </c>
      <c r="J51" s="11">
        <v>0</v>
      </c>
      <c r="K51" s="20">
        <v>0</v>
      </c>
      <c r="L51">
        <f>VLOOKUP(A51,Sheet2!A$2:B$57,2,FALSE)</f>
        <v>100</v>
      </c>
      <c r="M51">
        <f t="shared" si="0"/>
        <v>45</v>
      </c>
    </row>
    <row r="52" spans="1:13">
      <c r="A52" s="9" t="s">
        <v>64</v>
      </c>
      <c r="B52" s="9" t="s">
        <v>14</v>
      </c>
      <c r="C52" s="9" t="s">
        <v>63</v>
      </c>
      <c r="D52" s="18" t="s">
        <v>96</v>
      </c>
      <c r="E52" s="15"/>
      <c r="F52" s="11">
        <v>0</v>
      </c>
      <c r="G52" s="11">
        <v>0</v>
      </c>
      <c r="H52" s="15"/>
      <c r="I52" s="11">
        <v>0</v>
      </c>
      <c r="J52" s="11">
        <v>0</v>
      </c>
      <c r="K52" s="20">
        <v>0</v>
      </c>
      <c r="L52">
        <f>VLOOKUP(A52,Sheet2!A$2:B$57,2,FALSE)</f>
        <v>83</v>
      </c>
      <c r="M52">
        <f t="shared" si="0"/>
        <v>29.88</v>
      </c>
    </row>
    <row r="53" spans="1:13">
      <c r="A53" s="9" t="s">
        <v>65</v>
      </c>
      <c r="B53" s="9" t="s">
        <v>14</v>
      </c>
      <c r="C53" s="9" t="s">
        <v>63</v>
      </c>
      <c r="D53" s="18" t="s">
        <v>96</v>
      </c>
      <c r="E53" s="15"/>
      <c r="F53" s="11">
        <v>0</v>
      </c>
      <c r="G53" s="11">
        <v>0</v>
      </c>
      <c r="H53" s="15"/>
      <c r="I53" s="11">
        <v>0</v>
      </c>
      <c r="J53" s="11">
        <v>0</v>
      </c>
      <c r="K53" s="20">
        <v>0</v>
      </c>
      <c r="L53">
        <f>VLOOKUP(A53,Sheet2!A$2:B$57,2,FALSE)</f>
        <v>83</v>
      </c>
      <c r="M53">
        <f t="shared" si="0"/>
        <v>29.88</v>
      </c>
    </row>
    <row r="54" spans="1:13">
      <c r="A54" s="9" t="s">
        <v>66</v>
      </c>
      <c r="B54" s="9" t="s">
        <v>4</v>
      </c>
      <c r="C54" s="9" t="s">
        <v>63</v>
      </c>
      <c r="D54" s="18" t="s">
        <v>96</v>
      </c>
      <c r="E54" s="15"/>
      <c r="F54" s="11">
        <v>0</v>
      </c>
      <c r="G54" s="11">
        <v>0</v>
      </c>
      <c r="H54" s="15"/>
      <c r="I54" s="11">
        <v>0</v>
      </c>
      <c r="J54" s="11">
        <v>0</v>
      </c>
      <c r="K54" s="20">
        <v>0</v>
      </c>
      <c r="L54">
        <f>VLOOKUP(A54,Sheet2!A$2:B$57,2,FALSE)</f>
        <v>95</v>
      </c>
      <c r="M54">
        <f t="shared" si="0"/>
        <v>34.199999999999996</v>
      </c>
    </row>
    <row r="55" spans="1:13">
      <c r="A55" s="9" t="s">
        <v>67</v>
      </c>
      <c r="B55" s="9" t="s">
        <v>9</v>
      </c>
      <c r="C55" s="9" t="s">
        <v>63</v>
      </c>
      <c r="D55" s="18" t="s">
        <v>96</v>
      </c>
      <c r="E55" s="15"/>
      <c r="F55" s="11">
        <v>1</v>
      </c>
      <c r="G55" s="11">
        <v>1.5</v>
      </c>
      <c r="H55" s="15"/>
      <c r="I55" s="11">
        <v>0</v>
      </c>
      <c r="J55" s="11">
        <v>0</v>
      </c>
      <c r="K55" s="20">
        <v>0</v>
      </c>
      <c r="L55">
        <f>VLOOKUP(A55,Sheet2!A$2:B$57,2,FALSE)</f>
        <v>99.5</v>
      </c>
      <c r="M55">
        <f t="shared" si="0"/>
        <v>37.32</v>
      </c>
    </row>
    <row r="56" spans="1:13">
      <c r="A56" s="9" t="s">
        <v>68</v>
      </c>
      <c r="B56" s="9" t="s">
        <v>9</v>
      </c>
      <c r="C56" s="9" t="s">
        <v>63</v>
      </c>
      <c r="D56" s="18" t="s">
        <v>96</v>
      </c>
      <c r="E56" s="15"/>
      <c r="F56" s="11">
        <v>1</v>
      </c>
      <c r="G56" s="11">
        <v>1.5</v>
      </c>
      <c r="H56" s="15"/>
      <c r="I56" s="11">
        <v>0</v>
      </c>
      <c r="J56" s="11">
        <v>0</v>
      </c>
      <c r="K56" s="20">
        <v>0</v>
      </c>
      <c r="L56">
        <f>VLOOKUP(A56,Sheet2!A$2:B$57,2,FALSE)</f>
        <v>89.5</v>
      </c>
      <c r="M56">
        <f t="shared" si="0"/>
        <v>33.72</v>
      </c>
    </row>
    <row r="57" spans="1:13">
      <c r="A57" s="9" t="s">
        <v>69</v>
      </c>
      <c r="B57" s="9" t="s">
        <v>12</v>
      </c>
      <c r="C57" s="9" t="s">
        <v>63</v>
      </c>
      <c r="D57" s="18" t="s">
        <v>96</v>
      </c>
      <c r="E57" s="15"/>
      <c r="F57" s="11">
        <v>4</v>
      </c>
      <c r="G57" s="11">
        <v>6</v>
      </c>
      <c r="H57" s="15"/>
      <c r="I57" s="11">
        <v>0</v>
      </c>
      <c r="J57" s="11">
        <v>0</v>
      </c>
      <c r="K57" s="20">
        <v>0</v>
      </c>
      <c r="L57">
        <f>VLOOKUP(A57,Sheet2!A$2:B$57,2,FALSE)</f>
        <v>94</v>
      </c>
      <c r="M57">
        <f t="shared" si="0"/>
        <v>39.839999999999996</v>
      </c>
    </row>
    <row r="58" spans="1:13">
      <c r="A58" s="12" t="s">
        <v>75</v>
      </c>
      <c r="B58" s="12" t="s">
        <v>4</v>
      </c>
      <c r="C58" s="12" t="s">
        <v>5</v>
      </c>
      <c r="D58" s="19" t="s">
        <v>95</v>
      </c>
      <c r="E58" s="15"/>
      <c r="F58" s="11">
        <v>2</v>
      </c>
      <c r="G58" s="11">
        <v>1</v>
      </c>
      <c r="H58" s="15"/>
      <c r="I58" s="11" t="s">
        <v>76</v>
      </c>
      <c r="J58" s="11">
        <v>3</v>
      </c>
      <c r="K58" s="11">
        <v>5</v>
      </c>
      <c r="L58" s="20">
        <v>0</v>
      </c>
      <c r="M58">
        <f>G58+J58+K58+L58*0.36</f>
        <v>9</v>
      </c>
    </row>
    <row r="59" spans="1:13">
      <c r="A59" s="12" t="s">
        <v>77</v>
      </c>
      <c r="B59" s="12" t="s">
        <v>7</v>
      </c>
      <c r="C59" s="12" t="s">
        <v>5</v>
      </c>
      <c r="D59" s="19" t="s">
        <v>95</v>
      </c>
      <c r="E59" s="15"/>
      <c r="F59" s="11">
        <v>2</v>
      </c>
      <c r="G59" s="11">
        <v>1</v>
      </c>
      <c r="H59" s="15"/>
      <c r="I59" s="11" t="s">
        <v>76</v>
      </c>
      <c r="J59" s="11">
        <v>3</v>
      </c>
      <c r="K59" s="11">
        <v>5</v>
      </c>
      <c r="L59" s="20">
        <v>0</v>
      </c>
      <c r="M59">
        <f t="shared" si="0"/>
        <v>9</v>
      </c>
    </row>
    <row r="60" spans="1:13">
      <c r="A60" s="12" t="s">
        <v>78</v>
      </c>
      <c r="B60" s="12" t="s">
        <v>7</v>
      </c>
      <c r="C60" s="12" t="s">
        <v>17</v>
      </c>
      <c r="D60" s="19" t="s">
        <v>95</v>
      </c>
      <c r="E60" s="15"/>
      <c r="F60" s="11">
        <v>2</v>
      </c>
      <c r="G60" s="11">
        <v>1</v>
      </c>
      <c r="H60" s="15"/>
      <c r="I60" s="11">
        <v>0</v>
      </c>
      <c r="J60" s="11">
        <v>0</v>
      </c>
      <c r="K60" s="11">
        <v>5</v>
      </c>
      <c r="L60" s="20">
        <v>0</v>
      </c>
      <c r="M60">
        <f t="shared" si="0"/>
        <v>6</v>
      </c>
    </row>
    <row r="61" spans="1:13">
      <c r="A61" s="12" t="s">
        <v>79</v>
      </c>
      <c r="B61" s="12" t="s">
        <v>14</v>
      </c>
      <c r="C61" s="12" t="s">
        <v>17</v>
      </c>
      <c r="D61" s="19" t="s">
        <v>95</v>
      </c>
      <c r="E61" s="15"/>
      <c r="F61" s="11">
        <v>2</v>
      </c>
      <c r="G61" s="11">
        <v>1</v>
      </c>
      <c r="H61" s="15"/>
      <c r="I61" s="11">
        <v>0</v>
      </c>
      <c r="J61" s="11">
        <v>0</v>
      </c>
      <c r="K61" s="11">
        <v>5</v>
      </c>
      <c r="L61" s="20">
        <v>0</v>
      </c>
      <c r="M61">
        <f t="shared" si="0"/>
        <v>6</v>
      </c>
    </row>
    <row r="62" spans="1:13">
      <c r="A62" s="12" t="s">
        <v>80</v>
      </c>
      <c r="B62" s="12" t="s">
        <v>4</v>
      </c>
      <c r="C62" s="12" t="s">
        <v>24</v>
      </c>
      <c r="D62" s="19" t="s">
        <v>95</v>
      </c>
      <c r="E62" s="15"/>
      <c r="F62" s="11">
        <v>2</v>
      </c>
      <c r="G62" s="11">
        <v>0</v>
      </c>
      <c r="H62" s="15"/>
      <c r="I62" s="11">
        <v>0</v>
      </c>
      <c r="J62" s="11">
        <v>0</v>
      </c>
      <c r="K62" s="11">
        <v>5</v>
      </c>
      <c r="L62" s="20">
        <v>0</v>
      </c>
      <c r="M62">
        <f t="shared" si="0"/>
        <v>5</v>
      </c>
    </row>
    <row r="63" spans="1:13">
      <c r="A63" s="12" t="s">
        <v>81</v>
      </c>
      <c r="B63" s="12" t="s">
        <v>12</v>
      </c>
      <c r="C63" s="12" t="s">
        <v>24</v>
      </c>
      <c r="D63" s="19" t="s">
        <v>95</v>
      </c>
      <c r="E63" s="15"/>
      <c r="F63" s="11">
        <v>0</v>
      </c>
      <c r="G63" s="11">
        <v>0</v>
      </c>
      <c r="H63" s="15"/>
      <c r="I63" s="11">
        <v>0</v>
      </c>
      <c r="J63" s="11">
        <v>0</v>
      </c>
      <c r="K63" s="11">
        <v>5</v>
      </c>
      <c r="L63" s="20">
        <v>0</v>
      </c>
      <c r="M63">
        <f t="shared" si="0"/>
        <v>5</v>
      </c>
    </row>
    <row r="64" spans="1:13">
      <c r="A64" s="12" t="s">
        <v>82</v>
      </c>
      <c r="B64" s="12" t="s">
        <v>9</v>
      </c>
      <c r="C64" s="12" t="s">
        <v>31</v>
      </c>
      <c r="D64" s="19" t="s">
        <v>95</v>
      </c>
      <c r="E64" s="15"/>
      <c r="F64" s="11">
        <v>4</v>
      </c>
      <c r="G64" s="11">
        <v>2</v>
      </c>
      <c r="H64" s="15"/>
      <c r="I64" s="11" t="s">
        <v>83</v>
      </c>
      <c r="J64" s="11">
        <v>0.5</v>
      </c>
      <c r="K64" s="11">
        <v>5</v>
      </c>
      <c r="L64" s="20">
        <v>0</v>
      </c>
      <c r="M64">
        <f t="shared" si="0"/>
        <v>7.5</v>
      </c>
    </row>
    <row r="65" spans="1:13">
      <c r="A65" s="12" t="s">
        <v>84</v>
      </c>
      <c r="B65" s="12" t="s">
        <v>12</v>
      </c>
      <c r="C65" s="12" t="s">
        <v>31</v>
      </c>
      <c r="D65" s="19" t="s">
        <v>95</v>
      </c>
      <c r="E65" s="15"/>
      <c r="F65" s="11">
        <v>0</v>
      </c>
      <c r="G65" s="11">
        <v>0</v>
      </c>
      <c r="H65" s="15"/>
      <c r="I65" s="11" t="s">
        <v>83</v>
      </c>
      <c r="J65" s="11">
        <v>0.5</v>
      </c>
      <c r="K65" s="11">
        <v>5</v>
      </c>
      <c r="L65" s="20">
        <v>0</v>
      </c>
      <c r="M65">
        <f t="shared" si="0"/>
        <v>5.5</v>
      </c>
    </row>
    <row r="66" spans="1:13">
      <c r="A66" s="12" t="s">
        <v>85</v>
      </c>
      <c r="B66" s="12" t="s">
        <v>4</v>
      </c>
      <c r="C66" s="12" t="s">
        <v>39</v>
      </c>
      <c r="D66" s="19" t="s">
        <v>95</v>
      </c>
      <c r="E66" s="15"/>
      <c r="F66" s="11">
        <v>2</v>
      </c>
      <c r="G66" s="11">
        <v>1</v>
      </c>
      <c r="H66" s="15"/>
      <c r="I66" s="11">
        <v>0</v>
      </c>
      <c r="J66" s="11">
        <v>0</v>
      </c>
      <c r="K66" s="11">
        <v>5</v>
      </c>
      <c r="L66" s="20">
        <v>0</v>
      </c>
      <c r="M66">
        <f t="shared" si="0"/>
        <v>6</v>
      </c>
    </row>
    <row r="67" spans="1:13">
      <c r="A67" s="12" t="s">
        <v>86</v>
      </c>
      <c r="B67" s="12" t="s">
        <v>12</v>
      </c>
      <c r="C67" s="12" t="s">
        <v>39</v>
      </c>
      <c r="D67" s="19" t="s">
        <v>95</v>
      </c>
      <c r="E67" s="15"/>
      <c r="F67" s="11">
        <v>0</v>
      </c>
      <c r="G67" s="11">
        <v>0</v>
      </c>
      <c r="H67" s="15"/>
      <c r="I67" s="11">
        <v>0</v>
      </c>
      <c r="J67" s="11">
        <v>0</v>
      </c>
      <c r="K67" s="11">
        <v>5</v>
      </c>
      <c r="L67" s="20">
        <v>0</v>
      </c>
      <c r="M67">
        <f t="shared" ref="M67:M73" si="1">G67+J67+K67+L67*0.36</f>
        <v>5</v>
      </c>
    </row>
    <row r="68" spans="1:13">
      <c r="A68" s="13" t="s">
        <v>87</v>
      </c>
      <c r="B68" s="13" t="s">
        <v>9</v>
      </c>
      <c r="C68" s="13" t="s">
        <v>47</v>
      </c>
      <c r="D68" s="19" t="s">
        <v>95</v>
      </c>
      <c r="E68" s="15"/>
      <c r="F68" s="11">
        <v>2</v>
      </c>
      <c r="G68" s="11">
        <v>1</v>
      </c>
      <c r="H68" s="15"/>
      <c r="I68" s="11">
        <v>0</v>
      </c>
      <c r="J68" s="11">
        <v>0</v>
      </c>
      <c r="K68" s="11">
        <v>5</v>
      </c>
      <c r="L68" s="20">
        <v>0</v>
      </c>
      <c r="M68">
        <f t="shared" si="1"/>
        <v>6</v>
      </c>
    </row>
    <row r="69" spans="1:13">
      <c r="A69" s="13" t="s">
        <v>88</v>
      </c>
      <c r="B69" s="13" t="s">
        <v>14</v>
      </c>
      <c r="C69" s="13" t="s">
        <v>47</v>
      </c>
      <c r="D69" s="19" t="s">
        <v>95</v>
      </c>
      <c r="E69" s="15"/>
      <c r="F69" s="11">
        <v>2</v>
      </c>
      <c r="G69" s="11">
        <v>1</v>
      </c>
      <c r="H69" s="15"/>
      <c r="I69" s="11">
        <v>0</v>
      </c>
      <c r="J69" s="11">
        <v>0</v>
      </c>
      <c r="K69" s="11">
        <v>5</v>
      </c>
      <c r="L69" s="20">
        <v>0</v>
      </c>
      <c r="M69">
        <f t="shared" si="1"/>
        <v>6</v>
      </c>
    </row>
    <row r="70" spans="1:13">
      <c r="A70" s="12" t="s">
        <v>89</v>
      </c>
      <c r="B70" s="12" t="s">
        <v>7</v>
      </c>
      <c r="C70" s="12" t="s">
        <v>55</v>
      </c>
      <c r="D70" s="19" t="s">
        <v>95</v>
      </c>
      <c r="E70" s="15"/>
      <c r="F70" s="11">
        <v>3</v>
      </c>
      <c r="G70" s="11">
        <v>1.5</v>
      </c>
      <c r="H70" s="15"/>
      <c r="I70" s="11" t="s">
        <v>90</v>
      </c>
      <c r="J70" s="11">
        <v>3.5</v>
      </c>
      <c r="K70" s="11">
        <v>5</v>
      </c>
      <c r="L70" s="20">
        <v>0</v>
      </c>
      <c r="M70">
        <f t="shared" si="1"/>
        <v>10</v>
      </c>
    </row>
    <row r="71" spans="1:13">
      <c r="A71" s="12" t="s">
        <v>91</v>
      </c>
      <c r="B71" s="12" t="s">
        <v>9</v>
      </c>
      <c r="C71" s="12" t="s">
        <v>55</v>
      </c>
      <c r="D71" s="19" t="s">
        <v>95</v>
      </c>
      <c r="E71" s="15"/>
      <c r="F71" s="11">
        <v>1</v>
      </c>
      <c r="G71" s="11">
        <v>0.5</v>
      </c>
      <c r="H71" s="15"/>
      <c r="I71" s="11" t="s">
        <v>90</v>
      </c>
      <c r="J71" s="11">
        <v>3.5</v>
      </c>
      <c r="K71" s="11">
        <v>5</v>
      </c>
      <c r="L71" s="20">
        <v>0</v>
      </c>
      <c r="M71">
        <f t="shared" si="1"/>
        <v>9</v>
      </c>
    </row>
    <row r="72" spans="1:13">
      <c r="A72" s="12" t="s">
        <v>92</v>
      </c>
      <c r="B72" s="12" t="s">
        <v>9</v>
      </c>
      <c r="C72" s="12" t="s">
        <v>63</v>
      </c>
      <c r="D72" s="19" t="s">
        <v>95</v>
      </c>
      <c r="E72" s="15"/>
      <c r="F72" s="11">
        <v>3</v>
      </c>
      <c r="G72" s="11">
        <v>1.5</v>
      </c>
      <c r="H72" s="15"/>
      <c r="I72" s="11">
        <v>0</v>
      </c>
      <c r="J72" s="11">
        <v>0</v>
      </c>
      <c r="K72" s="11">
        <v>5</v>
      </c>
      <c r="L72" s="20">
        <v>0</v>
      </c>
      <c r="M72">
        <f t="shared" si="1"/>
        <v>6.5</v>
      </c>
    </row>
    <row r="73" spans="1:13">
      <c r="A73" s="12" t="s">
        <v>93</v>
      </c>
      <c r="B73" s="12" t="s">
        <v>14</v>
      </c>
      <c r="C73" s="12" t="s">
        <v>63</v>
      </c>
      <c r="D73" s="19" t="s">
        <v>95</v>
      </c>
      <c r="E73" s="16"/>
      <c r="F73" s="11">
        <v>1</v>
      </c>
      <c r="G73" s="11">
        <v>0.5</v>
      </c>
      <c r="H73" s="16"/>
      <c r="I73" s="11">
        <v>0</v>
      </c>
      <c r="J73" s="11">
        <v>0</v>
      </c>
      <c r="K73" s="11">
        <v>5</v>
      </c>
      <c r="L73" s="20">
        <v>0</v>
      </c>
      <c r="M73">
        <f t="shared" si="1"/>
        <v>5.5</v>
      </c>
    </row>
  </sheetData>
  <mergeCells count="2">
    <mergeCell ref="E1:E73"/>
    <mergeCell ref="H1:H7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A456-C820-4F83-8012-02B38E80062D}">
  <dimension ref="A1:L57"/>
  <sheetViews>
    <sheetView topLeftCell="A13" workbookViewId="0">
      <selection activeCell="D64" sqref="D64"/>
    </sheetView>
  </sheetViews>
  <sheetFormatPr defaultRowHeight="14.25"/>
  <sheetData>
    <row r="1" spans="1:12">
      <c r="A1" s="21" t="s">
        <v>0</v>
      </c>
      <c r="B1" s="21" t="s">
        <v>99</v>
      </c>
      <c r="C1" s="21"/>
      <c r="D1" s="22"/>
      <c r="E1" s="23"/>
      <c r="F1" s="23"/>
      <c r="G1" s="24"/>
      <c r="H1" s="25"/>
      <c r="I1" s="25"/>
      <c r="J1" s="25"/>
      <c r="K1" s="25"/>
      <c r="L1" s="25"/>
    </row>
    <row r="2" spans="1:12">
      <c r="A2" s="26" t="s">
        <v>43</v>
      </c>
      <c r="B2" s="27">
        <v>81.5</v>
      </c>
      <c r="C2" s="27"/>
      <c r="D2" s="28"/>
      <c r="E2" s="28"/>
      <c r="F2" s="28"/>
      <c r="G2" s="28"/>
      <c r="H2" s="29"/>
      <c r="I2" s="30"/>
      <c r="J2" s="30"/>
      <c r="K2" s="30"/>
      <c r="L2" s="29"/>
    </row>
    <row r="3" spans="1:12">
      <c r="A3" s="26" t="s">
        <v>35</v>
      </c>
      <c r="B3" s="27">
        <v>94</v>
      </c>
      <c r="C3" s="27"/>
      <c r="D3" s="28"/>
      <c r="E3" s="28"/>
      <c r="F3" s="28"/>
      <c r="G3" s="28"/>
      <c r="H3" s="29"/>
      <c r="I3" s="30"/>
      <c r="J3" s="30"/>
      <c r="K3" s="30"/>
      <c r="L3" s="29"/>
    </row>
    <row r="4" spans="1:12">
      <c r="A4" s="26" t="s">
        <v>28</v>
      </c>
      <c r="B4" s="27">
        <v>90</v>
      </c>
      <c r="C4" s="27"/>
      <c r="D4" s="28"/>
      <c r="E4" s="28"/>
      <c r="F4" s="28"/>
      <c r="G4" s="28"/>
      <c r="H4" s="29"/>
      <c r="I4" s="30"/>
      <c r="J4" s="30"/>
      <c r="K4" s="30"/>
      <c r="L4" s="29"/>
    </row>
    <row r="5" spans="1:12">
      <c r="A5" s="26" t="s">
        <v>8</v>
      </c>
      <c r="B5" s="27">
        <v>90</v>
      </c>
      <c r="C5" s="27"/>
      <c r="D5" s="28"/>
      <c r="E5" s="28"/>
      <c r="F5" s="28"/>
      <c r="G5" s="28"/>
      <c r="H5" s="29"/>
      <c r="I5" s="30"/>
      <c r="J5" s="30"/>
      <c r="K5" s="30"/>
      <c r="L5" s="29"/>
    </row>
    <row r="6" spans="1:12">
      <c r="A6" s="31" t="s">
        <v>33</v>
      </c>
      <c r="B6" s="32">
        <v>94</v>
      </c>
      <c r="C6" s="32"/>
      <c r="D6" s="33"/>
      <c r="E6" s="33"/>
      <c r="F6" s="33"/>
      <c r="G6" s="33"/>
      <c r="H6" s="34"/>
      <c r="I6" s="35"/>
      <c r="J6" s="35"/>
      <c r="K6" s="35"/>
      <c r="L6" s="34"/>
    </row>
    <row r="7" spans="1:12">
      <c r="A7" s="31" t="s">
        <v>19</v>
      </c>
      <c r="B7" s="32">
        <v>95.5</v>
      </c>
      <c r="C7" s="32"/>
      <c r="D7" s="33"/>
      <c r="E7" s="33"/>
      <c r="F7" s="33"/>
      <c r="G7" s="33"/>
      <c r="H7" s="34"/>
      <c r="I7" s="35"/>
      <c r="J7" s="35"/>
      <c r="K7" s="35"/>
      <c r="L7" s="34"/>
    </row>
    <row r="8" spans="1:12">
      <c r="A8" s="31" t="s">
        <v>50</v>
      </c>
      <c r="B8" s="32">
        <v>79.5</v>
      </c>
      <c r="C8" s="32"/>
      <c r="D8" s="33"/>
      <c r="E8" s="33"/>
      <c r="F8" s="33"/>
      <c r="G8" s="33"/>
      <c r="H8" s="34"/>
      <c r="I8" s="35"/>
      <c r="J8" s="35"/>
      <c r="K8" s="35"/>
      <c r="L8" s="34"/>
    </row>
    <row r="9" spans="1:12">
      <c r="A9" s="31" t="s">
        <v>68</v>
      </c>
      <c r="B9" s="32">
        <v>89.5</v>
      </c>
      <c r="C9" s="32"/>
      <c r="D9" s="33"/>
      <c r="E9" s="33"/>
      <c r="F9" s="33"/>
      <c r="G9" s="33"/>
      <c r="H9" s="34"/>
      <c r="I9" s="35"/>
      <c r="J9" s="35"/>
      <c r="K9" s="35"/>
      <c r="L9" s="34"/>
    </row>
    <row r="10" spans="1:12">
      <c r="A10" s="36" t="s">
        <v>67</v>
      </c>
      <c r="B10" s="37">
        <v>99.5</v>
      </c>
      <c r="C10" s="37"/>
      <c r="D10" s="38"/>
      <c r="E10" s="38"/>
      <c r="F10" s="38"/>
      <c r="G10" s="38"/>
      <c r="H10" s="39"/>
      <c r="I10" s="40"/>
      <c r="J10" s="40"/>
      <c r="K10" s="40"/>
      <c r="L10" s="39"/>
    </row>
    <row r="11" spans="1:12">
      <c r="A11" s="36" t="s">
        <v>58</v>
      </c>
      <c r="B11" s="37">
        <v>89.5</v>
      </c>
      <c r="C11" s="37"/>
      <c r="D11" s="38"/>
      <c r="E11" s="38"/>
      <c r="F11" s="38"/>
      <c r="G11" s="38"/>
      <c r="H11" s="39"/>
      <c r="I11" s="40"/>
      <c r="J11" s="40"/>
      <c r="K11" s="40"/>
      <c r="L11" s="39"/>
    </row>
    <row r="12" spans="1:12">
      <c r="A12" s="36" t="s">
        <v>10</v>
      </c>
      <c r="B12" s="37">
        <v>90.5</v>
      </c>
      <c r="C12" s="37"/>
      <c r="D12" s="38"/>
      <c r="E12" s="38"/>
      <c r="F12" s="38"/>
      <c r="G12" s="38"/>
      <c r="H12" s="39"/>
      <c r="I12" s="40"/>
      <c r="J12" s="40"/>
      <c r="K12" s="40"/>
      <c r="L12" s="39"/>
    </row>
    <row r="13" spans="1:12">
      <c r="A13" s="36" t="s">
        <v>22</v>
      </c>
      <c r="B13" s="37">
        <v>90</v>
      </c>
      <c r="C13" s="37"/>
      <c r="D13" s="38"/>
      <c r="E13" s="38"/>
      <c r="F13" s="38"/>
      <c r="G13" s="38"/>
      <c r="H13" s="39"/>
      <c r="I13" s="40"/>
      <c r="J13" s="40"/>
      <c r="K13" s="40"/>
      <c r="L13" s="39"/>
    </row>
    <row r="14" spans="1:12">
      <c r="A14" s="41" t="s">
        <v>60</v>
      </c>
      <c r="B14" s="42">
        <v>90.5</v>
      </c>
      <c r="C14" s="42"/>
      <c r="D14" s="43"/>
      <c r="E14" s="43"/>
      <c r="F14" s="43"/>
      <c r="G14" s="43"/>
      <c r="H14" s="44"/>
      <c r="I14" s="45"/>
      <c r="J14" s="45"/>
      <c r="K14" s="45"/>
      <c r="L14" s="44"/>
    </row>
    <row r="15" spans="1:12">
      <c r="A15" s="41" t="s">
        <v>42</v>
      </c>
      <c r="B15" s="42">
        <v>95</v>
      </c>
      <c r="C15" s="42"/>
      <c r="D15" s="43"/>
      <c r="E15" s="43"/>
      <c r="F15" s="43"/>
      <c r="G15" s="43"/>
      <c r="H15" s="44"/>
      <c r="I15" s="45"/>
      <c r="J15" s="45"/>
      <c r="K15" s="45"/>
      <c r="L15" s="44"/>
    </row>
    <row r="16" spans="1:12">
      <c r="A16" s="41" t="s">
        <v>27</v>
      </c>
      <c r="B16" s="42">
        <v>95</v>
      </c>
      <c r="C16" s="42"/>
      <c r="D16" s="43"/>
      <c r="E16" s="43"/>
      <c r="F16" s="43"/>
      <c r="G16" s="43"/>
      <c r="H16" s="44"/>
      <c r="I16" s="45"/>
      <c r="J16" s="45"/>
      <c r="K16" s="45"/>
      <c r="L16" s="44"/>
    </row>
    <row r="17" spans="1:12">
      <c r="A17" s="41" t="s">
        <v>51</v>
      </c>
      <c r="B17" s="42">
        <v>90</v>
      </c>
      <c r="C17" s="42"/>
      <c r="D17" s="43"/>
      <c r="E17" s="43"/>
      <c r="F17" s="43"/>
      <c r="G17" s="43"/>
      <c r="H17" s="44"/>
      <c r="I17" s="45"/>
      <c r="J17" s="45"/>
      <c r="K17" s="45"/>
      <c r="L17" s="44"/>
    </row>
    <row r="18" spans="1:12">
      <c r="A18" t="s">
        <v>20</v>
      </c>
      <c r="B18">
        <v>96</v>
      </c>
    </row>
    <row r="19" spans="1:12">
      <c r="A19" t="s">
        <v>56</v>
      </c>
      <c r="B19">
        <v>90.67</v>
      </c>
    </row>
    <row r="20" spans="1:12">
      <c r="A20" t="s">
        <v>25</v>
      </c>
      <c r="B20">
        <v>89</v>
      </c>
    </row>
    <row r="21" spans="1:12">
      <c r="A21" t="s">
        <v>11</v>
      </c>
      <c r="B21">
        <v>90.67</v>
      </c>
    </row>
    <row r="22" spans="1:12">
      <c r="A22" t="s">
        <v>45</v>
      </c>
      <c r="B22">
        <v>91.33</v>
      </c>
    </row>
    <row r="23" spans="1:12">
      <c r="A23" t="s">
        <v>36</v>
      </c>
      <c r="B23">
        <v>97.67</v>
      </c>
    </row>
    <row r="24" spans="1:12">
      <c r="A24" t="s">
        <v>69</v>
      </c>
      <c r="B24">
        <v>94</v>
      </c>
    </row>
    <row r="25" spans="1:12">
      <c r="A25" t="s">
        <v>48</v>
      </c>
      <c r="B25">
        <v>90</v>
      </c>
    </row>
    <row r="26" spans="1:12">
      <c r="A26" t="s">
        <v>54</v>
      </c>
      <c r="B26">
        <v>91</v>
      </c>
    </row>
    <row r="27" spans="1:12">
      <c r="A27" t="s">
        <v>38</v>
      </c>
      <c r="B27">
        <v>98</v>
      </c>
    </row>
    <row r="28" spans="1:12">
      <c r="A28" t="s">
        <v>34</v>
      </c>
      <c r="B28">
        <v>98</v>
      </c>
    </row>
    <row r="29" spans="1:12">
      <c r="A29" t="s">
        <v>23</v>
      </c>
      <c r="B29">
        <v>95</v>
      </c>
    </row>
    <row r="30" spans="1:12">
      <c r="A30" t="s">
        <v>52</v>
      </c>
      <c r="B30">
        <v>93</v>
      </c>
    </row>
    <row r="31" spans="1:12">
      <c r="A31" t="s">
        <v>3</v>
      </c>
      <c r="B31">
        <v>98</v>
      </c>
    </row>
    <row r="32" spans="1:12">
      <c r="A32" t="s">
        <v>16</v>
      </c>
      <c r="B32">
        <v>95</v>
      </c>
    </row>
    <row r="33" spans="1:2">
      <c r="A33" t="s">
        <v>66</v>
      </c>
      <c r="B33">
        <v>95</v>
      </c>
    </row>
    <row r="34" spans="1:2">
      <c r="A34" s="46" t="s">
        <v>18</v>
      </c>
      <c r="B34" s="46">
        <v>98</v>
      </c>
    </row>
    <row r="35" spans="1:2">
      <c r="A35" s="46" t="s">
        <v>62</v>
      </c>
      <c r="B35" s="46">
        <v>100</v>
      </c>
    </row>
    <row r="36" spans="1:2">
      <c r="A36" s="46" t="s">
        <v>59</v>
      </c>
      <c r="B36" s="46">
        <v>99</v>
      </c>
    </row>
    <row r="37" spans="1:2">
      <c r="A37" s="46" t="s">
        <v>6</v>
      </c>
      <c r="B37" s="46">
        <v>99</v>
      </c>
    </row>
    <row r="38" spans="1:2">
      <c r="A38" s="46" t="s">
        <v>44</v>
      </c>
      <c r="B38" s="46">
        <v>96</v>
      </c>
    </row>
    <row r="39" spans="1:2">
      <c r="A39" s="46" t="s">
        <v>46</v>
      </c>
      <c r="B39" s="46">
        <v>96</v>
      </c>
    </row>
    <row r="40" spans="1:2">
      <c r="A40" s="46" t="s">
        <v>100</v>
      </c>
      <c r="B40" s="46">
        <v>97</v>
      </c>
    </row>
    <row r="41" spans="1:2">
      <c r="A41" s="46" t="s">
        <v>30</v>
      </c>
      <c r="B41" s="46">
        <v>96</v>
      </c>
    </row>
    <row r="42" spans="1:2" ht="16.5">
      <c r="A42" s="47" t="s">
        <v>29</v>
      </c>
      <c r="B42">
        <v>86</v>
      </c>
    </row>
    <row r="43" spans="1:2" ht="16.5">
      <c r="A43" s="47" t="s">
        <v>26</v>
      </c>
      <c r="B43">
        <v>95</v>
      </c>
    </row>
    <row r="44" spans="1:2" ht="16.5">
      <c r="A44" s="47" t="s">
        <v>37</v>
      </c>
      <c r="B44">
        <v>89</v>
      </c>
    </row>
    <row r="45" spans="1:2" ht="16.5">
      <c r="A45" s="47" t="s">
        <v>32</v>
      </c>
      <c r="B45">
        <v>88</v>
      </c>
    </row>
    <row r="46" spans="1:2" ht="16.5">
      <c r="A46" s="47" t="s">
        <v>40</v>
      </c>
      <c r="B46">
        <v>87</v>
      </c>
    </row>
    <row r="47" spans="1:2" ht="16.5">
      <c r="A47" s="47" t="s">
        <v>41</v>
      </c>
      <c r="B47">
        <v>85</v>
      </c>
    </row>
    <row r="48" spans="1:2" ht="16.5">
      <c r="A48" s="47" t="s">
        <v>53</v>
      </c>
      <c r="B48">
        <v>87</v>
      </c>
    </row>
    <row r="49" spans="1:2" ht="16.5">
      <c r="A49" s="47" t="s">
        <v>49</v>
      </c>
      <c r="B49">
        <v>91</v>
      </c>
    </row>
    <row r="50" spans="1:2" ht="16.5">
      <c r="A50" s="47" t="s">
        <v>57</v>
      </c>
      <c r="B50">
        <v>80</v>
      </c>
    </row>
    <row r="51" spans="1:2" ht="16.5">
      <c r="A51" s="47" t="s">
        <v>61</v>
      </c>
      <c r="B51">
        <v>93</v>
      </c>
    </row>
    <row r="52" spans="1:2" ht="16.5">
      <c r="A52" s="47" t="s">
        <v>21</v>
      </c>
      <c r="B52">
        <v>84</v>
      </c>
    </row>
    <row r="53" spans="1:2" ht="16.5">
      <c r="A53" s="47" t="s">
        <v>104</v>
      </c>
      <c r="B53">
        <v>84</v>
      </c>
    </row>
    <row r="54" spans="1:2" ht="16.5">
      <c r="A54" s="47" t="s">
        <v>13</v>
      </c>
      <c r="B54">
        <v>86</v>
      </c>
    </row>
    <row r="55" spans="1:2" ht="16.5">
      <c r="A55" s="47" t="s">
        <v>15</v>
      </c>
      <c r="B55">
        <v>91</v>
      </c>
    </row>
    <row r="56" spans="1:2" ht="16.5">
      <c r="A56" s="47" t="s">
        <v>65</v>
      </c>
      <c r="B56">
        <v>83</v>
      </c>
    </row>
    <row r="57" spans="1:2" ht="16.5">
      <c r="A57" s="47" t="s">
        <v>64</v>
      </c>
      <c r="B57">
        <v>83</v>
      </c>
    </row>
  </sheetData>
  <mergeCells count="1">
    <mergeCell ref="D1:G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360E-6C44-4B26-B56D-A2F3D2B06B0F}">
  <dimension ref="A1:C73"/>
  <sheetViews>
    <sheetView topLeftCell="A43" workbookViewId="0">
      <selection activeCell="G26" sqref="G26"/>
    </sheetView>
  </sheetViews>
  <sheetFormatPr defaultRowHeight="14.25"/>
  <sheetData>
    <row r="1" spans="1:3">
      <c r="A1" t="s">
        <v>103</v>
      </c>
      <c r="B1" t="s">
        <v>94</v>
      </c>
      <c r="C1" t="s">
        <v>99</v>
      </c>
    </row>
    <row r="2" spans="1:3">
      <c r="A2" s="3" t="s">
        <v>20</v>
      </c>
      <c r="B2" s="18" t="s">
        <v>96</v>
      </c>
      <c r="C2">
        <v>37.56</v>
      </c>
    </row>
    <row r="3" spans="1:3">
      <c r="A3" s="12" t="s">
        <v>81</v>
      </c>
      <c r="B3" s="19" t="s">
        <v>95</v>
      </c>
      <c r="C3">
        <v>5</v>
      </c>
    </row>
    <row r="4" spans="1:3">
      <c r="A4" s="12" t="s">
        <v>82</v>
      </c>
      <c r="B4" s="19" t="s">
        <v>95</v>
      </c>
      <c r="C4">
        <v>7.5</v>
      </c>
    </row>
    <row r="5" spans="1:3">
      <c r="A5" s="8" t="s">
        <v>56</v>
      </c>
      <c r="B5" s="18" t="s">
        <v>96</v>
      </c>
      <c r="C5">
        <v>32.641199999999998</v>
      </c>
    </row>
    <row r="6" spans="1:3">
      <c r="A6" s="8" t="s">
        <v>59</v>
      </c>
      <c r="B6" s="18" t="s">
        <v>96</v>
      </c>
      <c r="C6">
        <v>59.14</v>
      </c>
    </row>
    <row r="7" spans="1:3">
      <c r="A7" s="5" t="s">
        <v>34</v>
      </c>
      <c r="B7" s="18" t="s">
        <v>96</v>
      </c>
      <c r="C7">
        <v>35.28</v>
      </c>
    </row>
    <row r="8" spans="1:3">
      <c r="A8" s="8" t="s">
        <v>54</v>
      </c>
      <c r="B8" s="18" t="s">
        <v>96</v>
      </c>
      <c r="C8">
        <v>53.26</v>
      </c>
    </row>
    <row r="9" spans="1:3">
      <c r="A9" s="12" t="s">
        <v>75</v>
      </c>
      <c r="B9" s="19" t="s">
        <v>95</v>
      </c>
      <c r="C9">
        <v>9</v>
      </c>
    </row>
    <row r="10" spans="1:3">
      <c r="A10" s="4" t="s">
        <v>26</v>
      </c>
      <c r="B10" s="18" t="s">
        <v>96</v>
      </c>
      <c r="C10">
        <v>34.199999999999996</v>
      </c>
    </row>
    <row r="11" spans="1:3">
      <c r="A11" s="4" t="s">
        <v>29</v>
      </c>
      <c r="B11" s="18" t="s">
        <v>96</v>
      </c>
      <c r="C11">
        <v>36.959999999999994</v>
      </c>
    </row>
    <row r="12" spans="1:3">
      <c r="A12" s="5" t="s">
        <v>33</v>
      </c>
      <c r="B12" s="18" t="s">
        <v>96</v>
      </c>
      <c r="C12">
        <v>33.839999999999996</v>
      </c>
    </row>
    <row r="13" spans="1:3">
      <c r="A13" s="7" t="s">
        <v>51</v>
      </c>
      <c r="B13" s="18" t="s">
        <v>96</v>
      </c>
      <c r="C13">
        <v>32.4</v>
      </c>
    </row>
    <row r="14" spans="1:3">
      <c r="A14" s="2" t="s">
        <v>13</v>
      </c>
      <c r="B14" s="18" t="s">
        <v>96</v>
      </c>
      <c r="C14">
        <v>35.459999999999994</v>
      </c>
    </row>
    <row r="15" spans="1:3">
      <c r="A15" s="6" t="s">
        <v>40</v>
      </c>
      <c r="B15" s="18" t="s">
        <v>96</v>
      </c>
      <c r="C15">
        <v>31.32</v>
      </c>
    </row>
    <row r="16" spans="1:3">
      <c r="A16" s="5" t="s">
        <v>37</v>
      </c>
      <c r="B16" s="18" t="s">
        <v>96</v>
      </c>
      <c r="C16">
        <v>35.04</v>
      </c>
    </row>
    <row r="17" spans="1:3">
      <c r="A17" s="4" t="s">
        <v>25</v>
      </c>
      <c r="B17" s="18" t="s">
        <v>96</v>
      </c>
      <c r="C17">
        <v>32.04</v>
      </c>
    </row>
    <row r="18" spans="1:3">
      <c r="A18" s="4" t="s">
        <v>28</v>
      </c>
      <c r="B18" s="18" t="s">
        <v>96</v>
      </c>
      <c r="C18">
        <v>33.9</v>
      </c>
    </row>
    <row r="19" spans="1:3">
      <c r="A19" s="2" t="s">
        <v>3</v>
      </c>
      <c r="B19" s="18" t="s">
        <v>96</v>
      </c>
      <c r="C19">
        <v>57.28</v>
      </c>
    </row>
    <row r="20" spans="1:3">
      <c r="A20" s="6" t="s">
        <v>44</v>
      </c>
      <c r="B20" s="18" t="s">
        <v>96</v>
      </c>
      <c r="C20">
        <v>36.06</v>
      </c>
    </row>
    <row r="21" spans="1:3">
      <c r="A21" s="12" t="s">
        <v>84</v>
      </c>
      <c r="B21" s="19" t="s">
        <v>95</v>
      </c>
      <c r="C21">
        <v>5.5</v>
      </c>
    </row>
    <row r="22" spans="1:3">
      <c r="A22" s="2" t="s">
        <v>11</v>
      </c>
      <c r="B22" s="18" t="s">
        <v>96</v>
      </c>
      <c r="C22">
        <v>34.141199999999998</v>
      </c>
    </row>
    <row r="23" spans="1:3">
      <c r="A23" s="2" t="s">
        <v>8</v>
      </c>
      <c r="B23" s="18" t="s">
        <v>96</v>
      </c>
      <c r="C23">
        <v>38.4</v>
      </c>
    </row>
    <row r="24" spans="1:3">
      <c r="A24" s="6" t="s">
        <v>41</v>
      </c>
      <c r="B24" s="18" t="s">
        <v>96</v>
      </c>
      <c r="C24">
        <v>30.599999999999998</v>
      </c>
    </row>
    <row r="25" spans="1:3">
      <c r="A25" s="5" t="s">
        <v>30</v>
      </c>
      <c r="B25" s="18" t="s">
        <v>96</v>
      </c>
      <c r="C25">
        <v>44.06</v>
      </c>
    </row>
    <row r="26" spans="1:3">
      <c r="A26" s="8" t="s">
        <v>61</v>
      </c>
      <c r="B26" s="18" t="s">
        <v>96</v>
      </c>
      <c r="C26">
        <v>47.48</v>
      </c>
    </row>
    <row r="27" spans="1:3">
      <c r="A27" s="12" t="s">
        <v>77</v>
      </c>
      <c r="B27" s="19" t="s">
        <v>95</v>
      </c>
      <c r="C27">
        <v>9</v>
      </c>
    </row>
    <row r="28" spans="1:3">
      <c r="A28" s="12" t="s">
        <v>78</v>
      </c>
      <c r="B28" s="19" t="s">
        <v>95</v>
      </c>
      <c r="C28">
        <v>6</v>
      </c>
    </row>
    <row r="29" spans="1:3">
      <c r="A29" s="3" t="s">
        <v>21</v>
      </c>
      <c r="B29" s="18" t="s">
        <v>96</v>
      </c>
      <c r="C29">
        <v>31.74</v>
      </c>
    </row>
    <row r="30" spans="1:3">
      <c r="A30" s="4" t="s">
        <v>101</v>
      </c>
      <c r="B30" s="18" t="s">
        <v>96</v>
      </c>
      <c r="C30">
        <v>35.92</v>
      </c>
    </row>
    <row r="31" spans="1:3">
      <c r="A31" s="9" t="s">
        <v>66</v>
      </c>
      <c r="B31" s="18" t="s">
        <v>96</v>
      </c>
      <c r="C31">
        <v>34.199999999999996</v>
      </c>
    </row>
    <row r="32" spans="1:3">
      <c r="A32" s="9" t="s">
        <v>68</v>
      </c>
      <c r="B32" s="18" t="s">
        <v>96</v>
      </c>
      <c r="C32">
        <v>33.72</v>
      </c>
    </row>
    <row r="33" spans="1:3">
      <c r="A33" s="9" t="s">
        <v>64</v>
      </c>
      <c r="B33" s="18" t="s">
        <v>96</v>
      </c>
      <c r="C33">
        <v>29.88</v>
      </c>
    </row>
    <row r="34" spans="1:3">
      <c r="A34" s="6" t="s">
        <v>45</v>
      </c>
      <c r="B34" s="18" t="s">
        <v>96</v>
      </c>
      <c r="C34">
        <v>35.878799999999998</v>
      </c>
    </row>
    <row r="35" spans="1:3">
      <c r="A35" s="6" t="s">
        <v>38</v>
      </c>
      <c r="B35" s="18" t="s">
        <v>96</v>
      </c>
      <c r="C35">
        <v>41.28</v>
      </c>
    </row>
    <row r="36" spans="1:3">
      <c r="A36" s="2" t="s">
        <v>15</v>
      </c>
      <c r="B36" s="18" t="s">
        <v>96</v>
      </c>
      <c r="C36">
        <v>34.26</v>
      </c>
    </row>
    <row r="37" spans="1:3">
      <c r="A37" s="7" t="s">
        <v>46</v>
      </c>
      <c r="B37" s="18" t="s">
        <v>96</v>
      </c>
      <c r="C37">
        <v>36.06</v>
      </c>
    </row>
    <row r="38" spans="1:3">
      <c r="A38" s="7" t="s">
        <v>52</v>
      </c>
      <c r="B38" s="18" t="s">
        <v>96</v>
      </c>
      <c r="C38">
        <v>33.479999999999997</v>
      </c>
    </row>
    <row r="39" spans="1:3">
      <c r="A39" s="3" t="s">
        <v>19</v>
      </c>
      <c r="B39" s="18" t="s">
        <v>96</v>
      </c>
      <c r="C39">
        <v>40.379999999999995</v>
      </c>
    </row>
    <row r="40" spans="1:3">
      <c r="A40" s="7" t="s">
        <v>53</v>
      </c>
      <c r="B40" s="18" t="s">
        <v>96</v>
      </c>
      <c r="C40">
        <v>32.82</v>
      </c>
    </row>
    <row r="41" spans="1:3">
      <c r="A41" s="5" t="s">
        <v>36</v>
      </c>
      <c r="B41" s="18" t="s">
        <v>96</v>
      </c>
      <c r="C41">
        <v>36.661200000000001</v>
      </c>
    </row>
    <row r="42" spans="1:3">
      <c r="A42" s="7" t="s">
        <v>50</v>
      </c>
      <c r="B42" s="18" t="s">
        <v>96</v>
      </c>
      <c r="C42">
        <v>28.619999999999997</v>
      </c>
    </row>
    <row r="43" spans="1:3">
      <c r="A43" s="6" t="s">
        <v>42</v>
      </c>
      <c r="B43" s="18" t="s">
        <v>96</v>
      </c>
      <c r="C43">
        <v>34.199999999999996</v>
      </c>
    </row>
    <row r="44" spans="1:3">
      <c r="A44" s="4" t="s">
        <v>23</v>
      </c>
      <c r="B44" s="18" t="s">
        <v>96</v>
      </c>
      <c r="C44">
        <v>35.699999999999996</v>
      </c>
    </row>
    <row r="45" spans="1:3">
      <c r="A45" s="9" t="s">
        <v>62</v>
      </c>
      <c r="B45" s="18" t="s">
        <v>96</v>
      </c>
      <c r="C45">
        <v>45</v>
      </c>
    </row>
    <row r="46" spans="1:3">
      <c r="A46" s="9" t="s">
        <v>65</v>
      </c>
      <c r="B46" s="18" t="s">
        <v>96</v>
      </c>
      <c r="C46">
        <v>29.88</v>
      </c>
    </row>
    <row r="47" spans="1:3">
      <c r="A47" s="12" t="s">
        <v>89</v>
      </c>
      <c r="B47" s="19" t="s">
        <v>95</v>
      </c>
      <c r="C47">
        <v>10</v>
      </c>
    </row>
    <row r="48" spans="1:3">
      <c r="A48" s="5" t="s">
        <v>35</v>
      </c>
      <c r="B48" s="18" t="s">
        <v>96</v>
      </c>
      <c r="C48">
        <v>36.839999999999996</v>
      </c>
    </row>
    <row r="49" spans="1:3">
      <c r="A49" s="6" t="s">
        <v>43</v>
      </c>
      <c r="B49" s="18" t="s">
        <v>96</v>
      </c>
      <c r="C49">
        <v>29.34</v>
      </c>
    </row>
    <row r="50" spans="1:3">
      <c r="A50" s="8" t="s">
        <v>58</v>
      </c>
      <c r="B50" s="18" t="s">
        <v>96</v>
      </c>
      <c r="C50">
        <v>32.22</v>
      </c>
    </row>
    <row r="51" spans="1:3">
      <c r="A51" s="5" t="s">
        <v>32</v>
      </c>
      <c r="B51" s="18" t="s">
        <v>96</v>
      </c>
      <c r="C51">
        <v>31.68</v>
      </c>
    </row>
    <row r="52" spans="1:3">
      <c r="A52" s="13" t="s">
        <v>87</v>
      </c>
      <c r="B52" s="19" t="s">
        <v>95</v>
      </c>
      <c r="C52">
        <v>6</v>
      </c>
    </row>
    <row r="53" spans="1:3">
      <c r="A53" s="9" t="s">
        <v>67</v>
      </c>
      <c r="B53" s="18" t="s">
        <v>96</v>
      </c>
      <c r="C53">
        <v>37.32</v>
      </c>
    </row>
    <row r="54" spans="1:3">
      <c r="A54" s="9" t="s">
        <v>69</v>
      </c>
      <c r="B54" s="18" t="s">
        <v>96</v>
      </c>
      <c r="C54">
        <v>39.839999999999996</v>
      </c>
    </row>
    <row r="55" spans="1:3">
      <c r="A55" s="7" t="s">
        <v>48</v>
      </c>
      <c r="B55" s="18" t="s">
        <v>96</v>
      </c>
      <c r="C55">
        <v>35.4</v>
      </c>
    </row>
    <row r="56" spans="1:3">
      <c r="A56" s="2" t="s">
        <v>10</v>
      </c>
      <c r="B56" s="18" t="s">
        <v>96</v>
      </c>
      <c r="C56">
        <v>38.58</v>
      </c>
    </row>
    <row r="57" spans="1:3">
      <c r="A57" s="12" t="s">
        <v>93</v>
      </c>
      <c r="B57" s="19" t="s">
        <v>95</v>
      </c>
      <c r="C57">
        <v>5.5</v>
      </c>
    </row>
    <row r="58" spans="1:3">
      <c r="A58" s="2" t="s">
        <v>6</v>
      </c>
      <c r="B58" s="18" t="s">
        <v>96</v>
      </c>
      <c r="C58">
        <v>73.14</v>
      </c>
    </row>
    <row r="59" spans="1:3">
      <c r="A59" s="3" t="s">
        <v>22</v>
      </c>
      <c r="B59" s="18" t="s">
        <v>96</v>
      </c>
      <c r="C59">
        <v>32.4</v>
      </c>
    </row>
    <row r="60" spans="1:3">
      <c r="A60" s="12" t="s">
        <v>86</v>
      </c>
      <c r="B60" s="19" t="s">
        <v>95</v>
      </c>
      <c r="C60">
        <v>5</v>
      </c>
    </row>
    <row r="61" spans="1:3">
      <c r="A61" s="8" t="s">
        <v>60</v>
      </c>
      <c r="B61" s="18" t="s">
        <v>96</v>
      </c>
      <c r="C61">
        <v>54.58</v>
      </c>
    </row>
    <row r="62" spans="1:3">
      <c r="A62" s="7" t="s">
        <v>49</v>
      </c>
      <c r="B62" s="18" t="s">
        <v>96</v>
      </c>
      <c r="C62">
        <v>32.76</v>
      </c>
    </row>
    <row r="63" spans="1:3">
      <c r="A63" s="4" t="s">
        <v>27</v>
      </c>
      <c r="B63" s="18" t="s">
        <v>96</v>
      </c>
      <c r="C63">
        <v>34.199999999999996</v>
      </c>
    </row>
    <row r="64" spans="1:3">
      <c r="A64" s="13" t="s">
        <v>88</v>
      </c>
      <c r="B64" s="19" t="s">
        <v>95</v>
      </c>
      <c r="C64">
        <v>6</v>
      </c>
    </row>
    <row r="65" spans="1:3">
      <c r="A65" s="12" t="s">
        <v>80</v>
      </c>
      <c r="B65" s="19" t="s">
        <v>95</v>
      </c>
      <c r="C65">
        <v>5</v>
      </c>
    </row>
    <row r="66" spans="1:3">
      <c r="A66" s="3" t="s">
        <v>16</v>
      </c>
      <c r="B66" s="18" t="s">
        <v>96</v>
      </c>
      <c r="C66">
        <v>35.699999999999996</v>
      </c>
    </row>
    <row r="67" spans="1:3">
      <c r="A67" s="12" t="s">
        <v>85</v>
      </c>
      <c r="B67" s="19" t="s">
        <v>95</v>
      </c>
      <c r="C67">
        <v>6</v>
      </c>
    </row>
    <row r="68" spans="1:3">
      <c r="A68" s="3" t="s">
        <v>104</v>
      </c>
      <c r="B68" s="18" t="s">
        <v>96</v>
      </c>
      <c r="C68">
        <v>30.74</v>
      </c>
    </row>
    <row r="69" spans="1:3">
      <c r="A69" s="8" t="s">
        <v>57</v>
      </c>
      <c r="B69" s="18" t="s">
        <v>96</v>
      </c>
      <c r="C69">
        <v>28.799999999999997</v>
      </c>
    </row>
    <row r="70" spans="1:3">
      <c r="A70" s="12" t="s">
        <v>79</v>
      </c>
      <c r="B70" s="19" t="s">
        <v>95</v>
      </c>
      <c r="C70">
        <v>6</v>
      </c>
    </row>
    <row r="71" spans="1:3">
      <c r="A71" s="12" t="s">
        <v>92</v>
      </c>
      <c r="B71" s="19" t="s">
        <v>95</v>
      </c>
      <c r="C71">
        <v>6.5</v>
      </c>
    </row>
    <row r="72" spans="1:3">
      <c r="A72" s="3" t="s">
        <v>18</v>
      </c>
      <c r="B72" s="18" t="s">
        <v>96</v>
      </c>
      <c r="C72">
        <v>41.28</v>
      </c>
    </row>
    <row r="73" spans="1:3">
      <c r="A73" s="12" t="s">
        <v>91</v>
      </c>
      <c r="B73" s="19" t="s">
        <v>95</v>
      </c>
      <c r="C73">
        <v>9</v>
      </c>
    </row>
  </sheetData>
  <sortState xmlns:xlrd2="http://schemas.microsoft.com/office/spreadsheetml/2017/richdata2" ref="A2:C73">
    <sortCondition ref="A2:A7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逸凡 陈</dc:creator>
  <cp:lastModifiedBy>逸凡 陈</cp:lastModifiedBy>
  <dcterms:created xsi:type="dcterms:W3CDTF">2026-06-18T04:47:37Z</dcterms:created>
  <dcterms:modified xsi:type="dcterms:W3CDTF">2026-06-18T15:03:43Z</dcterms:modified>
</cp:coreProperties>
</file>